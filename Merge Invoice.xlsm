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Rinku\Linkedin Post\"/>
    </mc:Choice>
  </mc:AlternateContent>
  <xr:revisionPtr revIDLastSave="0" documentId="13_ncr:1_{E4F8D336-9DE5-4B45-94ED-32356AC56FBA}" xr6:coauthVersionLast="47" xr6:coauthVersionMax="47" xr10:uidLastSave="{00000000-0000-0000-0000-000000000000}"/>
  <bookViews>
    <workbookView xWindow="-108" yWindow="-108" windowWidth="23256" windowHeight="12456" activeTab="1" xr2:uid="{F2D2A689-F8E5-4AFC-9CE1-F45C803A17B7}"/>
  </bookViews>
  <sheets>
    <sheet name="DataEntry" sheetId="2" r:id="rId1"/>
    <sheet name="InvoiceTemplate" sheetId="8" r:id="rId2"/>
    <sheet name="Invoice 1_171427" sheetId="38" r:id="rId3"/>
    <sheet name="Invoice 2_171428" sheetId="39" r:id="rId4"/>
    <sheet name="Sheet10" sheetId="27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2" i="39" l="1"/>
  <c r="G31" i="39"/>
  <c r="G30" i="39"/>
  <c r="G29" i="39"/>
  <c r="G28" i="39"/>
  <c r="G27" i="39"/>
  <c r="G26" i="39"/>
  <c r="G25" i="39"/>
  <c r="G24" i="39"/>
  <c r="G33" i="39"/>
  <c r="G35" i="39" s="1"/>
  <c r="G39" i="39" s="1"/>
  <c r="G32" i="38"/>
  <c r="G31" i="38"/>
  <c r="G30" i="38"/>
  <c r="G29" i="38"/>
  <c r="G28" i="38"/>
  <c r="G27" i="38"/>
  <c r="G33" i="38"/>
  <c r="G35" i="38" s="1"/>
  <c r="G39" i="38" s="1"/>
  <c r="L3" i="2"/>
  <c r="S2" i="2"/>
  <c r="L2" i="2"/>
  <c r="T2" i="2"/>
  <c r="T7" i="2"/>
  <c r="Q2" i="2"/>
  <c r="Q3" i="2"/>
  <c r="Q8" i="2"/>
  <c r="S8" i="2"/>
  <c r="S3" i="2"/>
  <c r="Q4" i="2"/>
  <c r="S4" i="2" s="1"/>
  <c r="Q5" i="2"/>
  <c r="S5" i="2" s="1"/>
  <c r="Q6" i="2"/>
  <c r="S6" i="2" s="1"/>
  <c r="Q7" i="2"/>
  <c r="S7" i="2" s="1"/>
  <c r="O3" i="2"/>
  <c r="O4" i="2"/>
  <c r="O5" i="2"/>
  <c r="O6" i="2"/>
  <c r="O7" i="2"/>
  <c r="O8" i="2"/>
  <c r="M3" i="2"/>
  <c r="L4" i="2"/>
  <c r="M4" i="2"/>
  <c r="L5" i="2"/>
  <c r="M5" i="2" s="1"/>
  <c r="L6" i="2"/>
  <c r="M6" i="2"/>
  <c r="L7" i="2"/>
  <c r="M7" i="2" s="1"/>
  <c r="L8" i="2"/>
  <c r="M8" i="2" s="1"/>
  <c r="G32" i="8"/>
  <c r="G31" i="8"/>
  <c r="G30" i="8"/>
  <c r="G29" i="8"/>
  <c r="G28" i="8"/>
  <c r="G27" i="8"/>
  <c r="G26" i="8"/>
  <c r="G25" i="8"/>
  <c r="G24" i="8"/>
  <c r="G23" i="8"/>
  <c r="G33" i="8" l="1"/>
  <c r="G35" i="8" s="1"/>
  <c r="G39" i="8"/>
  <c r="M2" i="2"/>
  <c r="O2" i="2" s="1"/>
</calcChain>
</file>

<file path=xl/sharedStrings.xml><?xml version="1.0" encoding="utf-8"?>
<sst xmlns="http://schemas.openxmlformats.org/spreadsheetml/2006/main" count="135" uniqueCount="56">
  <si>
    <t>Test Preparation</t>
  </si>
  <si>
    <t>xyz@gmail.com</t>
  </si>
  <si>
    <t>Mumbai Maharashta</t>
  </si>
  <si>
    <t>Xyz Company</t>
  </si>
  <si>
    <t>Children's Books</t>
  </si>
  <si>
    <t>Grand Total</t>
  </si>
  <si>
    <t>Shipping/Handling</t>
  </si>
  <si>
    <t>Total Tax</t>
  </si>
  <si>
    <t>Tax Rate</t>
  </si>
  <si>
    <t>SubTotal Less Discount</t>
  </si>
  <si>
    <t>Discount</t>
  </si>
  <si>
    <t>Sub Total</t>
  </si>
  <si>
    <t>Total</t>
  </si>
  <si>
    <t>Unit Price</t>
  </si>
  <si>
    <t>Qty</t>
  </si>
  <si>
    <t>Description</t>
  </si>
  <si>
    <t>Email</t>
  </si>
  <si>
    <t>Phone</t>
  </si>
  <si>
    <t>Address</t>
  </si>
  <si>
    <t>Client Company Name</t>
  </si>
  <si>
    <t>Invoice No</t>
  </si>
  <si>
    <t>Date</t>
  </si>
  <si>
    <t>Sr.No</t>
  </si>
  <si>
    <t>THE BOOK STORE</t>
  </si>
  <si>
    <t xml:space="preserve"> INVOICE</t>
  </si>
  <si>
    <t>Nariman Point , Mumbai City, Maharashtra</t>
  </si>
  <si>
    <t>&lt;Payment terms (due on receipt, due in X days)&gt;</t>
  </si>
  <si>
    <t>BILL TO</t>
  </si>
  <si>
    <t>&lt;Contact Name&gt;</t>
  </si>
  <si>
    <t>&lt;Client Company Name&gt;</t>
  </si>
  <si>
    <t>&lt;Address&gt;</t>
  </si>
  <si>
    <t>&lt;Phone&gt;</t>
  </si>
  <si>
    <t>&lt;Email&gt;</t>
  </si>
  <si>
    <t>DESCRIPTION</t>
  </si>
  <si>
    <t>UNIT PRICE</t>
  </si>
  <si>
    <t>TOTAL</t>
  </si>
  <si>
    <t>Remarks / Payment Instructions:</t>
  </si>
  <si>
    <t>SUBTOTAL</t>
  </si>
  <si>
    <t>DISCOUNT</t>
  </si>
  <si>
    <t>SUBTOTAL LESS DISCOUNT</t>
  </si>
  <si>
    <t>TAX RATE</t>
  </si>
  <si>
    <t>TOTAL TAX</t>
  </si>
  <si>
    <t>SHIPPING/HANDLING</t>
  </si>
  <si>
    <t>Balance Due</t>
  </si>
  <si>
    <t>Invoice no</t>
  </si>
  <si>
    <t>Contact Name</t>
  </si>
  <si>
    <t>NoteBook</t>
  </si>
  <si>
    <t>Ball Pen</t>
  </si>
  <si>
    <t>Hobbies and Sports</t>
  </si>
  <si>
    <t>Kayra Enterprices</t>
  </si>
  <si>
    <t>Thane, Maharashtra</t>
  </si>
  <si>
    <t>Sim@gmail.com</t>
  </si>
  <si>
    <t>Mr. Raj</t>
  </si>
  <si>
    <t>Miss. Seema</t>
  </si>
  <si>
    <t>Invoice Grand Total</t>
  </si>
  <si>
    <t>28-07-2025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</si>
</sst>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"/>
    <numFmt numFmtId="165" formatCode="_-&quot;$&quot;* #,##0.00_-;\-&quot;$&quot;* #,##0.00_-;_-&quot;$&quot;* &quot;-&quot;??_-;_-@"/>
  </numFmts>
  <fonts count="34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12"/>
      <color rgb="FF000000"/>
      <name val="Roboto"/>
    </font>
    <font>
      <b/>
      <sz val="20"/>
      <color rgb="FFA5A5A5"/>
      <name val="Roboto"/>
    </font>
    <font>
      <b/>
      <sz val="22"/>
      <color rgb="FF4472C4"/>
      <name val="Roboto"/>
    </font>
    <font>
      <sz val="10"/>
      <color theme="1"/>
      <name val="Roboto"/>
    </font>
    <font>
      <sz val="18"/>
      <color rgb="FF7F7F7F"/>
      <name val="Roboto"/>
    </font>
    <font>
      <sz val="16"/>
      <color rgb="FF333F4F"/>
      <name val="Imprint MT Shadow"/>
      <family val="5"/>
    </font>
    <font>
      <sz val="12"/>
      <color rgb="FF333F4F"/>
      <name val="Cambria"/>
      <family val="1"/>
    </font>
    <font>
      <sz val="8"/>
      <color rgb="FF333F4F"/>
      <name val="Roboto"/>
    </font>
    <font>
      <sz val="11"/>
      <color rgb="FF333F4F"/>
      <name val="Roboto"/>
    </font>
    <font>
      <sz val="11"/>
      <color rgb="FFFFFFFF"/>
      <name val="Roboto"/>
    </font>
    <font>
      <b/>
      <sz val="9"/>
      <color rgb="FF1F3864"/>
      <name val="Roboto"/>
    </font>
    <font>
      <sz val="10"/>
      <color rgb="FF000000"/>
      <name val="Roboto"/>
    </font>
    <font>
      <sz val="11"/>
      <color rgb="FF0070C0"/>
      <name val="Roboto"/>
    </font>
    <font>
      <i/>
      <sz val="9"/>
      <color rgb="FF333F4F"/>
      <name val="Roboto"/>
    </font>
    <font>
      <sz val="10"/>
      <name val="Arial"/>
      <family val="2"/>
    </font>
    <font>
      <sz val="11"/>
      <color rgb="FF1F3864"/>
      <name val="Roboto"/>
    </font>
    <font>
      <sz val="12"/>
      <color rgb="FF000000"/>
      <name val="Cambria"/>
      <family val="1"/>
    </font>
    <font>
      <sz val="9"/>
      <color rgb="FF000000"/>
      <name val="Roboto"/>
    </font>
    <font>
      <b/>
      <sz val="12"/>
      <color rgb="FF333F4F"/>
      <name val="Roboto"/>
    </font>
    <font>
      <b/>
      <sz val="9"/>
      <color theme="1"/>
      <name val="Roboto"/>
    </font>
    <font>
      <sz val="10"/>
      <color rgb="FF333F4F"/>
      <name val="Roboto"/>
    </font>
    <font>
      <b/>
      <sz val="12"/>
      <color rgb="FF333F4F"/>
      <name val="Cambria"/>
      <family val="1"/>
    </font>
    <font>
      <sz val="11"/>
      <color rgb="FF000000"/>
      <name val="Aptos Narrow"/>
      <family val="2"/>
      <scheme val="minor"/>
    </font>
    <font>
      <sz val="11"/>
      <color rgb="FF000000"/>
      <name val="Roboto"/>
    </font>
    <font>
      <b/>
      <sz val="12"/>
      <color rgb="FF1F3864"/>
      <name val="Cambria"/>
      <family val="1"/>
    </font>
    <font>
      <sz val="12"/>
      <name val="Cambria"/>
      <family val="1"/>
    </font>
    <font>
      <sz val="12"/>
      <color rgb="FF333F4F"/>
      <name val="Roboto"/>
    </font>
    <font>
      <sz val="12"/>
      <color rgb="FF000000"/>
      <name val="Aptos Narrow"/>
      <family val="2"/>
      <scheme val="minor"/>
    </font>
    <font>
      <b/>
      <sz val="12"/>
      <color theme="1"/>
      <name val="Roboto"/>
    </font>
    <font>
      <b/>
      <sz val="12"/>
      <color rgb="FFFFFFFF"/>
      <name val="Cambria"/>
      <family val="1"/>
    </font>
    <font>
      <b/>
      <sz val="11"/>
      <color rgb="FF333F4F"/>
      <name val="Microsoft YaHe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9.9978637043366805E-2"/>
        <bgColor rgb="FFFF5722"/>
      </patternFill>
    </fill>
    <fill>
      <patternFill patternType="solid">
        <fgColor rgb="FFF3F3F3"/>
        <bgColor rgb="FFF3F3F3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F4CCCC"/>
        <bgColor rgb="FFF4CCCC"/>
      </patternFill>
    </fill>
  </fills>
  <borders count="19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theme="2" tint="-0.249977111117893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/>
      <bottom style="thin">
        <color rgb="FF999999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/>
  </cellStyleXfs>
  <cellXfs count="107">
    <xf numFmtId="0" fontId="0" fillId="0" borderId="0" xfId="0"/>
    <xf numFmtId="0" fontId="3" fillId="2" borderId="0" xfId="2" applyFont="1" applyFill="1" applyAlignment="1">
      <alignment vertical="center"/>
    </xf>
    <xf numFmtId="0" fontId="4" fillId="2" borderId="0" xfId="2" applyFont="1" applyFill="1" applyAlignment="1">
      <alignment vertical="center"/>
    </xf>
    <xf numFmtId="0" fontId="5" fillId="2" borderId="0" xfId="2" applyFont="1" applyFill="1" applyAlignment="1">
      <alignment vertical="center"/>
    </xf>
    <xf numFmtId="0" fontId="5" fillId="2" borderId="0" xfId="2" applyFont="1" applyFill="1" applyAlignment="1">
      <alignment horizontal="right" vertical="center"/>
    </xf>
    <xf numFmtId="0" fontId="2" fillId="0" borderId="0" xfId="2"/>
    <xf numFmtId="0" fontId="3" fillId="3" borderId="0" xfId="2" applyFont="1" applyFill="1" applyAlignment="1">
      <alignment vertical="center"/>
    </xf>
    <xf numFmtId="0" fontId="4" fillId="3" borderId="0" xfId="2" applyFont="1" applyFill="1" applyAlignment="1">
      <alignment vertical="center"/>
    </xf>
    <xf numFmtId="0" fontId="5" fillId="3" borderId="0" xfId="2" applyFont="1" applyFill="1" applyAlignment="1">
      <alignment vertical="center"/>
    </xf>
    <xf numFmtId="0" fontId="5" fillId="3" borderId="0" xfId="2" applyFont="1" applyFill="1" applyAlignment="1">
      <alignment horizontal="right" vertical="center"/>
    </xf>
    <xf numFmtId="0" fontId="6" fillId="3" borderId="0" xfId="2" applyFont="1" applyFill="1"/>
    <xf numFmtId="0" fontId="7" fillId="3" borderId="0" xfId="2" applyFont="1" applyFill="1" applyAlignment="1">
      <alignment horizontal="left" vertical="center" wrapText="1"/>
    </xf>
    <xf numFmtId="0" fontId="8" fillId="3" borderId="0" xfId="2" applyFont="1" applyFill="1" applyAlignment="1">
      <alignment horizontal="left" vertical="top"/>
    </xf>
    <xf numFmtId="0" fontId="9" fillId="3" borderId="0" xfId="2" applyFont="1" applyFill="1" applyAlignment="1">
      <alignment horizontal="left" vertical="top"/>
    </xf>
    <xf numFmtId="0" fontId="10" fillId="3" borderId="0" xfId="2" applyFont="1" applyFill="1" applyAlignment="1">
      <alignment horizontal="left" vertical="top"/>
    </xf>
    <xf numFmtId="0" fontId="11" fillId="3" borderId="0" xfId="2" applyFont="1" applyFill="1" applyAlignment="1">
      <alignment horizontal="left" vertical="center"/>
    </xf>
    <xf numFmtId="0" fontId="12" fillId="3" borderId="0" xfId="2" applyFont="1" applyFill="1" applyAlignment="1">
      <alignment horizontal="center" vertical="center"/>
    </xf>
    <xf numFmtId="0" fontId="13" fillId="3" borderId="0" xfId="2" applyFont="1" applyFill="1" applyAlignment="1">
      <alignment horizontal="center" vertical="center"/>
    </xf>
    <xf numFmtId="164" fontId="14" fillId="3" borderId="0" xfId="2" applyNumberFormat="1" applyFont="1" applyFill="1" applyAlignment="1">
      <alignment horizontal="center" vertical="center"/>
    </xf>
    <xf numFmtId="14" fontId="14" fillId="3" borderId="0" xfId="2" applyNumberFormat="1" applyFont="1" applyFill="1" applyAlignment="1">
      <alignment horizontal="center" vertical="center"/>
    </xf>
    <xf numFmtId="0" fontId="14" fillId="3" borderId="0" xfId="2" applyFont="1" applyFill="1" applyAlignment="1">
      <alignment horizontal="center" vertical="center"/>
    </xf>
    <xf numFmtId="0" fontId="6" fillId="0" borderId="0" xfId="2" applyFont="1"/>
    <xf numFmtId="0" fontId="11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12" fillId="0" borderId="0" xfId="2" applyFont="1" applyAlignment="1">
      <alignment horizontal="center" vertical="center"/>
    </xf>
    <xf numFmtId="0" fontId="15" fillId="0" borderId="0" xfId="2" applyFont="1" applyAlignment="1">
      <alignment horizontal="left" vertical="center"/>
    </xf>
    <xf numFmtId="0" fontId="16" fillId="0" borderId="0" xfId="2" applyFont="1" applyAlignment="1">
      <alignment horizontal="right" vertical="top"/>
    </xf>
    <xf numFmtId="0" fontId="13" fillId="0" borderId="1" xfId="2" applyFont="1" applyBorder="1" applyAlignment="1">
      <alignment horizontal="left" vertical="center"/>
    </xf>
    <xf numFmtId="0" fontId="18" fillId="0" borderId="1" xfId="2" applyFont="1" applyBorder="1" applyAlignment="1">
      <alignment vertical="center"/>
    </xf>
    <xf numFmtId="0" fontId="18" fillId="0" borderId="0" xfId="2" applyFont="1" applyAlignment="1">
      <alignment vertical="center"/>
    </xf>
    <xf numFmtId="0" fontId="3" fillId="0" borderId="2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horizontal="left" vertical="center"/>
    </xf>
    <xf numFmtId="0" fontId="14" fillId="0" borderId="0" xfId="2" applyFont="1" applyAlignment="1">
      <alignment horizontal="center" vertical="center"/>
    </xf>
    <xf numFmtId="0" fontId="13" fillId="0" borderId="0" xfId="2" applyFont="1" applyAlignment="1">
      <alignment horizontal="center" vertical="center"/>
    </xf>
    <xf numFmtId="2" fontId="20" fillId="0" borderId="0" xfId="2" applyNumberFormat="1" applyFont="1" applyAlignment="1">
      <alignment horizontal="right" vertical="center"/>
    </xf>
    <xf numFmtId="0" fontId="21" fillId="0" borderId="0" xfId="2" applyFont="1" applyAlignment="1">
      <alignment horizontal="right"/>
    </xf>
    <xf numFmtId="2" fontId="20" fillId="0" borderId="0" xfId="2" applyNumberFormat="1" applyFont="1" applyAlignment="1">
      <alignment vertical="center"/>
    </xf>
    <xf numFmtId="10" fontId="20" fillId="0" borderId="0" xfId="2" applyNumberFormat="1" applyFont="1" applyAlignment="1">
      <alignment vertical="center"/>
    </xf>
    <xf numFmtId="4" fontId="20" fillId="0" borderId="0" xfId="2" applyNumberFormat="1" applyFont="1" applyAlignment="1">
      <alignment vertical="center"/>
    </xf>
    <xf numFmtId="0" fontId="21" fillId="0" borderId="15" xfId="2" applyFont="1" applyBorder="1" applyAlignment="1">
      <alignment horizontal="right" vertical="center"/>
    </xf>
    <xf numFmtId="165" fontId="22" fillId="0" borderId="0" xfId="2" applyNumberFormat="1" applyFont="1" applyAlignment="1">
      <alignment vertical="center"/>
    </xf>
    <xf numFmtId="0" fontId="3" fillId="0" borderId="0" xfId="2" applyFont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3" fillId="0" borderId="0" xfId="2" applyFont="1"/>
    <xf numFmtId="0" fontId="23" fillId="0" borderId="0" xfId="2" applyFont="1" applyAlignment="1">
      <alignment horizontal="center"/>
    </xf>
    <xf numFmtId="0" fontId="6" fillId="2" borderId="0" xfId="2" applyFont="1" applyFill="1"/>
    <xf numFmtId="0" fontId="24" fillId="0" borderId="0" xfId="2" applyFont="1" applyAlignment="1">
      <alignment horizontal="right"/>
    </xf>
    <xf numFmtId="0" fontId="26" fillId="0" borderId="0" xfId="2" applyFont="1" applyAlignment="1">
      <alignment horizontal="center" vertical="center"/>
    </xf>
    <xf numFmtId="14" fontId="27" fillId="3" borderId="1" xfId="2" applyNumberFormat="1" applyFont="1" applyFill="1" applyBorder="1" applyAlignment="1">
      <alignment horizontal="center" vertical="center"/>
    </xf>
    <xf numFmtId="14" fontId="19" fillId="3" borderId="0" xfId="2" applyNumberFormat="1" applyFont="1" applyFill="1" applyAlignment="1">
      <alignment horizontal="center" vertical="center"/>
    </xf>
    <xf numFmtId="0" fontId="27" fillId="3" borderId="1" xfId="2" applyFont="1" applyFill="1" applyBorder="1" applyAlignment="1">
      <alignment horizontal="center" vertical="center"/>
    </xf>
    <xf numFmtId="0" fontId="19" fillId="0" borderId="6" xfId="2" applyFont="1" applyBorder="1" applyAlignment="1">
      <alignment horizontal="center" vertical="center"/>
    </xf>
    <xf numFmtId="2" fontId="19" fillId="0" borderId="6" xfId="2" applyNumberFormat="1" applyFont="1" applyBorder="1" applyAlignment="1">
      <alignment horizontal="right" vertical="center"/>
    </xf>
    <xf numFmtId="0" fontId="19" fillId="3" borderId="9" xfId="2" applyFont="1" applyFill="1" applyBorder="1" applyAlignment="1">
      <alignment horizontal="center" vertical="center"/>
    </xf>
    <xf numFmtId="2" fontId="19" fillId="3" borderId="9" xfId="2" applyNumberFormat="1" applyFont="1" applyFill="1" applyBorder="1" applyAlignment="1">
      <alignment horizontal="right" vertical="center"/>
    </xf>
    <xf numFmtId="0" fontId="19" fillId="0" borderId="9" xfId="2" applyFont="1" applyBorder="1" applyAlignment="1">
      <alignment horizontal="center" vertical="center"/>
    </xf>
    <xf numFmtId="2" fontId="19" fillId="0" borderId="9" xfId="2" applyNumberFormat="1" applyFont="1" applyBorder="1" applyAlignment="1">
      <alignment horizontal="right" vertical="center"/>
    </xf>
    <xf numFmtId="0" fontId="19" fillId="0" borderId="13" xfId="2" applyFont="1" applyBorder="1" applyAlignment="1">
      <alignment horizontal="center" vertical="center"/>
    </xf>
    <xf numFmtId="2" fontId="19" fillId="0" borderId="13" xfId="2" applyNumberFormat="1" applyFont="1" applyBorder="1" applyAlignment="1">
      <alignment horizontal="right" vertical="center"/>
    </xf>
    <xf numFmtId="0" fontId="24" fillId="0" borderId="0" xfId="2" applyFont="1" applyAlignment="1">
      <alignment horizontal="right" vertical="center"/>
    </xf>
    <xf numFmtId="2" fontId="19" fillId="0" borderId="1" xfId="2" applyNumberFormat="1" applyFont="1" applyBorder="1" applyAlignment="1">
      <alignment vertical="center"/>
    </xf>
    <xf numFmtId="0" fontId="19" fillId="0" borderId="0" xfId="2" applyFont="1" applyAlignment="1">
      <alignment horizontal="center" vertical="center" wrapText="1"/>
    </xf>
    <xf numFmtId="2" fontId="19" fillId="0" borderId="14" xfId="2" applyNumberFormat="1" applyFont="1" applyBorder="1" applyAlignment="1">
      <alignment vertical="center"/>
    </xf>
    <xf numFmtId="10" fontId="19" fillId="0" borderId="14" xfId="2" applyNumberFormat="1" applyFont="1" applyBorder="1" applyAlignment="1">
      <alignment vertical="center"/>
    </xf>
    <xf numFmtId="4" fontId="19" fillId="0" borderId="14" xfId="2" applyNumberFormat="1" applyFont="1" applyBorder="1" applyAlignment="1">
      <alignment vertical="center"/>
    </xf>
    <xf numFmtId="0" fontId="29" fillId="0" borderId="0" xfId="2" applyFont="1" applyAlignment="1">
      <alignment horizontal="center" vertical="center"/>
    </xf>
    <xf numFmtId="165" fontId="31" fillId="5" borderId="16" xfId="2" applyNumberFormat="1" applyFont="1" applyFill="1" applyBorder="1" applyAlignment="1">
      <alignment vertical="center"/>
    </xf>
    <xf numFmtId="0" fontId="32" fillId="2" borderId="0" xfId="2" applyFont="1" applyFill="1" applyAlignment="1">
      <alignment horizontal="center" vertical="center"/>
    </xf>
    <xf numFmtId="0" fontId="19" fillId="0" borderId="0" xfId="2" applyFont="1" applyAlignment="1">
      <alignment horizontal="left" vertical="center"/>
    </xf>
    <xf numFmtId="0" fontId="7" fillId="3" borderId="0" xfId="2" applyFont="1" applyFill="1" applyAlignment="1">
      <alignment horizontal="left" vertical="center" wrapText="1"/>
    </xf>
    <xf numFmtId="0" fontId="2" fillId="0" borderId="0" xfId="2"/>
    <xf numFmtId="0" fontId="12" fillId="0" borderId="0" xfId="2" applyFont="1" applyAlignment="1">
      <alignment horizontal="center" vertical="center"/>
    </xf>
    <xf numFmtId="0" fontId="16" fillId="0" borderId="0" xfId="2" applyFont="1" applyAlignment="1">
      <alignment horizontal="right" vertical="top"/>
    </xf>
    <xf numFmtId="0" fontId="13" fillId="0" borderId="1" xfId="2" applyFont="1" applyBorder="1" applyAlignment="1">
      <alignment horizontal="left" vertical="center"/>
    </xf>
    <xf numFmtId="0" fontId="17" fillId="0" borderId="1" xfId="2" applyFont="1" applyBorder="1"/>
    <xf numFmtId="0" fontId="19" fillId="0" borderId="7" xfId="2" applyFont="1" applyBorder="1" applyAlignment="1">
      <alignment horizontal="left" vertical="center"/>
    </xf>
    <xf numFmtId="0" fontId="19" fillId="0" borderId="0" xfId="2" applyFont="1"/>
    <xf numFmtId="0" fontId="28" fillId="0" borderId="8" xfId="2" applyFont="1" applyBorder="1"/>
    <xf numFmtId="0" fontId="14" fillId="0" borderId="0" xfId="2" applyFont="1" applyAlignment="1">
      <alignment horizontal="center" vertical="center"/>
    </xf>
    <xf numFmtId="0" fontId="32" fillId="2" borderId="0" xfId="2" applyFont="1" applyFill="1" applyAlignment="1">
      <alignment horizontal="center" vertical="center"/>
    </xf>
    <xf numFmtId="0" fontId="19" fillId="4" borderId="0" xfId="2" applyFont="1" applyFill="1"/>
    <xf numFmtId="0" fontId="19" fillId="0" borderId="3" xfId="2" applyFont="1" applyBorder="1" applyAlignment="1">
      <alignment horizontal="left" vertical="center"/>
    </xf>
    <xf numFmtId="0" fontId="28" fillId="0" borderId="4" xfId="2" applyFont="1" applyBorder="1"/>
    <xf numFmtId="0" fontId="28" fillId="0" borderId="5" xfId="2" applyFont="1" applyBorder="1"/>
    <xf numFmtId="0" fontId="19" fillId="3" borderId="7" xfId="2" applyFont="1" applyFill="1" applyBorder="1" applyAlignment="1">
      <alignment horizontal="left" vertical="center"/>
    </xf>
    <xf numFmtId="0" fontId="26" fillId="0" borderId="0" xfId="2" applyFont="1" applyAlignment="1">
      <alignment horizontal="center" vertical="center"/>
    </xf>
    <xf numFmtId="0" fontId="25" fillId="0" borderId="0" xfId="2" applyFont="1"/>
    <xf numFmtId="0" fontId="16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0" borderId="0" xfId="2" applyFont="1" applyAlignment="1">
      <alignment horizontal="center"/>
    </xf>
    <xf numFmtId="0" fontId="19" fillId="0" borderId="10" xfId="2" applyFont="1" applyBorder="1" applyAlignment="1">
      <alignment horizontal="left" vertical="center"/>
    </xf>
    <xf numFmtId="0" fontId="28" fillId="0" borderId="11" xfId="2" applyFont="1" applyBorder="1"/>
    <xf numFmtId="0" fontId="28" fillId="0" borderId="12" xfId="2" applyFont="1" applyBorder="1"/>
    <xf numFmtId="0" fontId="19" fillId="0" borderId="0" xfId="2" applyFont="1" applyAlignment="1">
      <alignment horizontal="center" vertical="center" wrapText="1"/>
    </xf>
    <xf numFmtId="0" fontId="29" fillId="0" borderId="0" xfId="2" applyFont="1" applyAlignment="1">
      <alignment horizontal="center" vertical="center"/>
    </xf>
    <xf numFmtId="0" fontId="30" fillId="0" borderId="0" xfId="2" applyFont="1"/>
    <xf numFmtId="0" fontId="19" fillId="0" borderId="4" xfId="2" applyFont="1" applyBorder="1" applyAlignment="1">
      <alignment horizontal="center" vertical="center" wrapText="1"/>
    </xf>
    <xf numFmtId="0" fontId="33" fillId="3" borderId="17" xfId="2" applyFont="1" applyFill="1" applyBorder="1" applyAlignment="1">
      <alignment horizontal="left" vertical="center"/>
    </xf>
    <xf numFmtId="0" fontId="33" fillId="3" borderId="17" xfId="2" applyFont="1" applyFill="1" applyBorder="1" applyAlignment="1">
      <alignment horizontal="center" vertical="center" wrapText="1"/>
    </xf>
    <xf numFmtId="0" fontId="33" fillId="3" borderId="17" xfId="2" applyFont="1" applyFill="1" applyBorder="1" applyAlignment="1">
      <alignment horizontal="left" vertical="center" wrapText="1"/>
    </xf>
    <xf numFmtId="0" fontId="0" fillId="0" borderId="18" xfId="0" applyBorder="1"/>
    <xf numFmtId="14" fontId="0" fillId="0" borderId="18" xfId="0" applyNumberFormat="1" applyBorder="1"/>
    <xf numFmtId="0" fontId="1" fillId="0" borderId="18" xfId="1" applyBorder="1"/>
    <xf numFmtId="9" fontId="0" fillId="0" borderId="18" xfId="0" applyNumberFormat="1" applyBorder="1"/>
    <xf numFmtId="2" fontId="0" fillId="0" borderId="18" xfId="0" applyNumberFormat="1" applyBorder="1"/>
  </cellXfs>
  <cellStyles count="3">
    <cellStyle name="Hyperlink" xfId="1" builtinId="8"/>
    <cellStyle name="Normal" xfId="0" builtinId="0"/>
    <cellStyle name="Normal 2" xfId="2" xr:uid="{A2289E09-F7D7-45D7-858C-A559017BE40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355600</xdr:colOff>
      <xdr:row>9</xdr:row>
      <xdr:rowOff>169333</xdr:rowOff>
    </xdr:from>
    <xdr:to>
      <xdr:col>9</xdr:col>
      <xdr:colOff>508000</xdr:colOff>
      <xdr:row>12</xdr:row>
      <xdr:rowOff>160866</xdr:rowOff>
    </xdr:to>
    <xdr:sp macro="[0]!GenerateFinalInvoices3" textlink="">
      <xdr:nvSpPr>
        <xdr:cNvPr id="2" name="Rectangle 1">
          <a:extLst>
            <a:ext uri="{FF2B5EF4-FFF2-40B4-BE49-F238E27FC236}">
              <a16:creationId xmlns:a16="http://schemas.microsoft.com/office/drawing/2014/main" id="{543720B7-7720-D43B-8244-9FB425F0CDA4}"/>
            </a:ext>
          </a:extLst>
        </xdr:cNvPr>
        <xdr:cNvSpPr/>
      </xdr:nvSpPr>
      <xdr:spPr>
        <a:xfrm>
          <a:off x="6925733" y="2370666"/>
          <a:ext cx="2404534" cy="550333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1" algn="r"/>
          <a:r>
            <a:rPr lang="en-IN" sz="1200">
              <a:solidFill>
                <a:schemeClr val="tx1"/>
              </a:solidFill>
            </a:rPr>
            <a:t> </a:t>
          </a:r>
        </a:p>
        <a:p>
          <a:pPr lvl="1" algn="r"/>
          <a:r>
            <a:rPr lang="en-IN" sz="1200" b="0" cap="none" spc="0">
              <a:ln w="0">
                <a:solidFill>
                  <a:sysClr val="windowText" lastClr="000000"/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 </a:t>
          </a:r>
          <a:r>
            <a:rPr lang="en-IN" sz="1600" b="0" cap="none" spc="0">
              <a:ln w="0">
                <a:solidFill>
                  <a:sysClr val="windowText" lastClr="000000"/>
                </a:solidFill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Generate  Invoices</a:t>
          </a:r>
          <a:endParaRPr lang="en-IN" sz="1200" b="0" cap="none" spc="0">
            <a:ln w="0">
              <a:solidFill>
                <a:sysClr val="windowText" lastClr="000000"/>
              </a:solidFill>
            </a:ln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7</xdr:col>
      <xdr:colOff>389470</xdr:colOff>
      <xdr:row>9</xdr:row>
      <xdr:rowOff>33876</xdr:rowOff>
    </xdr:from>
    <xdr:to>
      <xdr:col>8</xdr:col>
      <xdr:colOff>126994</xdr:colOff>
      <xdr:row>13</xdr:row>
      <xdr:rowOff>50800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490CC50-F9AB-07EA-0A6A-8958E65533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9603" y="2235209"/>
          <a:ext cx="761991" cy="7619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104775</xdr:colOff>
      <xdr:row>9</xdr:row>
      <xdr:rowOff>97837</xdr:rowOff>
    </xdr:from>
    <xdr:to>
      <xdr:col>6</xdr:col>
      <xdr:colOff>76201</xdr:colOff>
      <xdr:row>35</xdr:row>
      <xdr:rowOff>4903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877A91C-9774-4097-809B-8D396C985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1200150" y="2202862"/>
          <a:ext cx="5191126" cy="5536341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0</xdr:row>
      <xdr:rowOff>156210</xdr:rowOff>
    </xdr:from>
    <xdr:to>
      <xdr:col>1</xdr:col>
      <xdr:colOff>722266</xdr:colOff>
      <xdr:row>5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B32646C-A23F-4829-B13C-9F0AA9DC8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6" y="156210"/>
          <a:ext cx="971820" cy="103251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104775</xdr:colOff>
      <xdr:row>9</xdr:row>
      <xdr:rowOff>97837</xdr:rowOff>
    </xdr:from>
    <xdr:to>
      <xdr:col>6</xdr:col>
      <xdr:colOff>76201</xdr:colOff>
      <xdr:row>35</xdr:row>
      <xdr:rowOff>4903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6DBEBF2-FDD8-497A-9912-0B3C96342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1202055" y="2200957"/>
          <a:ext cx="5191126" cy="551538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0</xdr:row>
      <xdr:rowOff>156210</xdr:rowOff>
    </xdr:from>
    <xdr:to>
      <xdr:col>1</xdr:col>
      <xdr:colOff>722266</xdr:colOff>
      <xdr:row>5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787E6E8-5E11-4059-A15E-CC4641C06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6" y="156210"/>
          <a:ext cx="971820" cy="103251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104775</xdr:colOff>
      <xdr:row>9</xdr:row>
      <xdr:rowOff>97837</xdr:rowOff>
    </xdr:from>
    <xdr:to>
      <xdr:col>6</xdr:col>
      <xdr:colOff>76201</xdr:colOff>
      <xdr:row>35</xdr:row>
      <xdr:rowOff>4903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9C1807-5549-4C8E-BB6D-33110DA72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1202055" y="2200957"/>
          <a:ext cx="5191126" cy="5515386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0</xdr:row>
      <xdr:rowOff>156210</xdr:rowOff>
    </xdr:from>
    <xdr:to>
      <xdr:col>1</xdr:col>
      <xdr:colOff>722266</xdr:colOff>
      <xdr:row>5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1443A5A-05E5-4509-8A85-B46DC1AD9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6" y="156210"/>
          <a:ext cx="971820" cy="10325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xyz@gmail.com" TargetMode="External"/><Relationship Id="rId2" Type="http://schemas.openxmlformats.org/officeDocument/2006/relationships/hyperlink" Target="mailto:xyz@gmail.com" TargetMode="External"/><Relationship Id="rId1" Type="http://schemas.openxmlformats.org/officeDocument/2006/relationships/hyperlink" Target="mailto:xyz@gmail.com" TargetMode="External"/><Relationship Id="rId6" Type="http://schemas.openxmlformats.org/officeDocument/2006/relationships/drawing" Target="../drawings/drawing1.xml"/><Relationship Id="rId5" Type="http://schemas.openxmlformats.org/officeDocument/2006/relationships/hyperlink" Target="mailto:Sim@gmail.com" TargetMode="External"/><Relationship Id="rId4" Type="http://schemas.openxmlformats.org/officeDocument/2006/relationships/hyperlink" Target="mailto:Sim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8E63A-4B0D-4BE4-8608-7A665E09F040}">
  <sheetPr codeName="Sheet3"/>
  <dimension ref="A1:T8"/>
  <sheetViews>
    <sheetView showGridLines="0" topLeftCell="B1" zoomScale="90" zoomScaleNormal="90" workbookViewId="0">
      <selection activeCell="N3" sqref="A3:XFD6"/>
    </sheetView>
  </sheetViews>
  <sheetFormatPr defaultRowHeight="14.4" x14ac:dyDescent="0.3"/>
  <cols>
    <col min="1" max="1" width="6.77734375" customWidth="1"/>
    <col min="2" max="2" width="11.21875" bestFit="1" customWidth="1"/>
    <col min="3" max="3" width="14.33203125" bestFit="1" customWidth="1"/>
    <col min="4" max="4" width="12.5546875" customWidth="1"/>
    <col min="5" max="5" width="18.44140625" customWidth="1"/>
    <col min="6" max="6" width="19" customWidth="1"/>
    <col min="7" max="7" width="13.44140625" customWidth="1"/>
    <col min="8" max="8" width="14.88671875" bestFit="1" customWidth="1"/>
    <col min="9" max="9" width="17.88671875" bestFit="1" customWidth="1"/>
    <col min="10" max="10" width="10.5546875" bestFit="1" customWidth="1"/>
    <col min="11" max="11" width="6.77734375" customWidth="1"/>
    <col min="12" max="12" width="9.77734375" bestFit="1" customWidth="1"/>
    <col min="13" max="13" width="10.5546875" bestFit="1" customWidth="1"/>
    <col min="14" max="14" width="10.88671875" customWidth="1"/>
    <col min="15" max="15" width="11.5546875" customWidth="1"/>
    <col min="18" max="18" width="12.33203125" customWidth="1"/>
    <col min="20" max="20" width="9.33203125" bestFit="1" customWidth="1"/>
  </cols>
  <sheetData>
    <row r="1" spans="1:20" ht="55.8" customHeight="1" x14ac:dyDescent="0.3">
      <c r="A1" s="99" t="s">
        <v>22</v>
      </c>
      <c r="B1" s="99" t="s">
        <v>21</v>
      </c>
      <c r="C1" s="99" t="s">
        <v>20</v>
      </c>
      <c r="D1" s="100" t="s">
        <v>45</v>
      </c>
      <c r="E1" s="101" t="s">
        <v>19</v>
      </c>
      <c r="F1" s="99" t="s">
        <v>18</v>
      </c>
      <c r="G1" s="99" t="s">
        <v>17</v>
      </c>
      <c r="H1" s="99" t="s">
        <v>16</v>
      </c>
      <c r="I1" s="99" t="s">
        <v>15</v>
      </c>
      <c r="J1" s="99" t="s">
        <v>14</v>
      </c>
      <c r="K1" s="101" t="s">
        <v>13</v>
      </c>
      <c r="L1" s="99" t="s">
        <v>12</v>
      </c>
      <c r="M1" s="101" t="s">
        <v>11</v>
      </c>
      <c r="N1" s="101" t="s">
        <v>10</v>
      </c>
      <c r="O1" s="101" t="s">
        <v>9</v>
      </c>
      <c r="P1" s="101" t="s">
        <v>8</v>
      </c>
      <c r="Q1" s="101" t="s">
        <v>7</v>
      </c>
      <c r="R1" s="101" t="s">
        <v>6</v>
      </c>
      <c r="S1" s="101" t="s">
        <v>5</v>
      </c>
      <c r="T1" s="101" t="s">
        <v>54</v>
      </c>
    </row>
    <row r="2" spans="1:20" x14ac:dyDescent="0.3">
      <c r="A2" s="102">
        <v>1</v>
      </c>
      <c r="B2" s="103">
        <v>45866</v>
      </c>
      <c r="C2" s="102">
        <v>100041</v>
      </c>
      <c r="D2" s="102" t="s">
        <v>52</v>
      </c>
      <c r="E2" s="102" t="s">
        <v>3</v>
      </c>
      <c r="F2" s="102" t="s">
        <v>2</v>
      </c>
      <c r="G2" s="102">
        <v>9875642312</v>
      </c>
      <c r="H2" s="104" t="s">
        <v>1</v>
      </c>
      <c r="I2" s="102" t="s">
        <v>46</v>
      </c>
      <c r="J2" s="102">
        <v>25</v>
      </c>
      <c r="K2" s="102">
        <v>80</v>
      </c>
      <c r="L2" s="102">
        <f>J2*K2</f>
        <v>2000</v>
      </c>
      <c r="M2" s="102">
        <f>L2</f>
        <v>2000</v>
      </c>
      <c r="N2" s="102">
        <v>0</v>
      </c>
      <c r="O2" s="102">
        <f>M2-N2</f>
        <v>2000</v>
      </c>
      <c r="P2" s="105">
        <v>0.12</v>
      </c>
      <c r="Q2" s="102">
        <f>O2*P2</f>
        <v>240</v>
      </c>
      <c r="R2" s="102">
        <v>500</v>
      </c>
      <c r="S2" s="106">
        <f>O2+Q2+R2</f>
        <v>2740</v>
      </c>
      <c r="T2" s="106">
        <f>SUM(S2:S6)</f>
        <v>14390</v>
      </c>
    </row>
    <row r="3" spans="1:20" x14ac:dyDescent="0.3">
      <c r="A3" s="102">
        <v>2</v>
      </c>
      <c r="B3" s="103">
        <v>45866</v>
      </c>
      <c r="C3" s="102">
        <v>100041</v>
      </c>
      <c r="D3" s="102" t="s">
        <v>52</v>
      </c>
      <c r="E3" s="102" t="s">
        <v>3</v>
      </c>
      <c r="F3" s="102" t="s">
        <v>2</v>
      </c>
      <c r="G3" s="102">
        <v>9875642312</v>
      </c>
      <c r="H3" s="104" t="s">
        <v>1</v>
      </c>
      <c r="I3" s="102" t="s">
        <v>47</v>
      </c>
      <c r="J3" s="102">
        <v>100</v>
      </c>
      <c r="K3" s="102">
        <v>10</v>
      </c>
      <c r="L3" s="102">
        <f>J3*K3</f>
        <v>1000</v>
      </c>
      <c r="M3" s="102">
        <f t="shared" ref="M3:M8" si="0">L3</f>
        <v>1000</v>
      </c>
      <c r="N3" s="102">
        <v>50</v>
      </c>
      <c r="O3" s="102">
        <f t="shared" ref="O3:O8" si="1">M3-N3</f>
        <v>950</v>
      </c>
      <c r="P3" s="105">
        <v>0</v>
      </c>
      <c r="Q3" s="102">
        <f t="shared" ref="Q3:Q7" si="2">O3*P3</f>
        <v>0</v>
      </c>
      <c r="R3" s="102">
        <v>0</v>
      </c>
      <c r="S3" s="106">
        <f t="shared" ref="S3:S8" si="3">O3+Q3+R3</f>
        <v>950</v>
      </c>
      <c r="T3" s="102">
        <v>0</v>
      </c>
    </row>
    <row r="4" spans="1:20" x14ac:dyDescent="0.3">
      <c r="A4" s="102">
        <v>3</v>
      </c>
      <c r="B4" s="103">
        <v>45866</v>
      </c>
      <c r="C4" s="102">
        <v>100041</v>
      </c>
      <c r="D4" s="102" t="s">
        <v>52</v>
      </c>
      <c r="E4" s="102" t="s">
        <v>3</v>
      </c>
      <c r="F4" s="102" t="s">
        <v>2</v>
      </c>
      <c r="G4" s="102">
        <v>9875642312</v>
      </c>
      <c r="H4" s="104" t="s">
        <v>1</v>
      </c>
      <c r="I4" s="102" t="s">
        <v>0</v>
      </c>
      <c r="J4" s="102">
        <v>30</v>
      </c>
      <c r="K4" s="102">
        <v>100</v>
      </c>
      <c r="L4" s="102">
        <f t="shared" ref="L3:L8" si="4">J4*K4</f>
        <v>3000</v>
      </c>
      <c r="M4" s="102">
        <f t="shared" si="0"/>
        <v>3000</v>
      </c>
      <c r="N4" s="102">
        <v>0</v>
      </c>
      <c r="O4" s="102">
        <f t="shared" si="1"/>
        <v>3000</v>
      </c>
      <c r="P4" s="105">
        <v>0</v>
      </c>
      <c r="Q4" s="102">
        <f t="shared" si="2"/>
        <v>0</v>
      </c>
      <c r="R4" s="102">
        <v>0</v>
      </c>
      <c r="S4" s="106">
        <f t="shared" si="3"/>
        <v>3000</v>
      </c>
      <c r="T4" s="102">
        <v>0</v>
      </c>
    </row>
    <row r="5" spans="1:20" x14ac:dyDescent="0.3">
      <c r="A5" s="102">
        <v>4</v>
      </c>
      <c r="B5" s="103">
        <v>45866</v>
      </c>
      <c r="C5" s="102">
        <v>100041</v>
      </c>
      <c r="D5" s="102" t="s">
        <v>52</v>
      </c>
      <c r="E5" s="102" t="s">
        <v>3</v>
      </c>
      <c r="F5" s="102" t="s">
        <v>2</v>
      </c>
      <c r="G5" s="102">
        <v>9875642312</v>
      </c>
      <c r="H5" s="104" t="s">
        <v>1</v>
      </c>
      <c r="I5" s="102" t="s">
        <v>48</v>
      </c>
      <c r="J5" s="102">
        <v>20</v>
      </c>
      <c r="K5" s="102">
        <v>90</v>
      </c>
      <c r="L5" s="102">
        <f t="shared" si="4"/>
        <v>1800</v>
      </c>
      <c r="M5" s="102">
        <f t="shared" si="0"/>
        <v>1800</v>
      </c>
      <c r="N5" s="102">
        <v>0</v>
      </c>
      <c r="O5" s="102">
        <f t="shared" si="1"/>
        <v>1800</v>
      </c>
      <c r="P5" s="105">
        <v>0</v>
      </c>
      <c r="Q5" s="102">
        <f t="shared" si="2"/>
        <v>0</v>
      </c>
      <c r="R5" s="102">
        <v>0</v>
      </c>
      <c r="S5" s="106">
        <f t="shared" si="3"/>
        <v>1800</v>
      </c>
      <c r="T5" s="102">
        <v>0</v>
      </c>
    </row>
    <row r="6" spans="1:20" x14ac:dyDescent="0.3">
      <c r="A6" s="102">
        <v>5</v>
      </c>
      <c r="B6" s="103">
        <v>45866</v>
      </c>
      <c r="C6" s="102">
        <v>100041</v>
      </c>
      <c r="D6" s="102" t="s">
        <v>52</v>
      </c>
      <c r="E6" s="102" t="s">
        <v>3</v>
      </c>
      <c r="F6" s="102" t="s">
        <v>2</v>
      </c>
      <c r="G6" s="102">
        <v>9875642312</v>
      </c>
      <c r="H6" s="104" t="s">
        <v>1</v>
      </c>
      <c r="I6" s="102" t="s">
        <v>4</v>
      </c>
      <c r="J6" s="102">
        <v>50</v>
      </c>
      <c r="K6" s="102">
        <v>120</v>
      </c>
      <c r="L6" s="102">
        <f t="shared" si="4"/>
        <v>6000</v>
      </c>
      <c r="M6" s="102">
        <f t="shared" si="0"/>
        <v>6000</v>
      </c>
      <c r="N6" s="102">
        <v>100</v>
      </c>
      <c r="O6" s="102">
        <f t="shared" si="1"/>
        <v>5900</v>
      </c>
      <c r="P6" s="105">
        <v>0</v>
      </c>
      <c r="Q6" s="102">
        <f t="shared" si="2"/>
        <v>0</v>
      </c>
      <c r="R6" s="102">
        <v>0</v>
      </c>
      <c r="S6" s="106">
        <f t="shared" si="3"/>
        <v>5900</v>
      </c>
      <c r="T6" s="102">
        <v>0</v>
      </c>
    </row>
    <row r="7" spans="1:20" x14ac:dyDescent="0.3">
      <c r="A7" s="102">
        <v>6</v>
      </c>
      <c r="B7" s="103">
        <v>45867</v>
      </c>
      <c r="C7" s="102">
        <v>100042</v>
      </c>
      <c r="D7" s="102" t="s">
        <v>53</v>
      </c>
      <c r="E7" s="102" t="s">
        <v>49</v>
      </c>
      <c r="F7" s="102" t="s">
        <v>50</v>
      </c>
      <c r="G7" s="102">
        <v>225493678</v>
      </c>
      <c r="H7" s="104" t="s">
        <v>51</v>
      </c>
      <c r="I7" s="102" t="s">
        <v>0</v>
      </c>
      <c r="J7" s="102">
        <v>50</v>
      </c>
      <c r="K7" s="102">
        <v>100</v>
      </c>
      <c r="L7" s="102">
        <f t="shared" si="4"/>
        <v>5000</v>
      </c>
      <c r="M7" s="102">
        <f t="shared" si="0"/>
        <v>5000</v>
      </c>
      <c r="N7" s="102">
        <v>0</v>
      </c>
      <c r="O7" s="102">
        <f t="shared" si="1"/>
        <v>5000</v>
      </c>
      <c r="P7" s="105">
        <v>0</v>
      </c>
      <c r="Q7" s="102">
        <f t="shared" si="2"/>
        <v>0</v>
      </c>
      <c r="R7" s="102">
        <v>100</v>
      </c>
      <c r="S7" s="106">
        <f t="shared" si="3"/>
        <v>5100</v>
      </c>
      <c r="T7" s="106">
        <f>SUM(S7:S8)</f>
        <v>5660</v>
      </c>
    </row>
    <row r="8" spans="1:20" x14ac:dyDescent="0.3">
      <c r="A8" s="102">
        <v>7</v>
      </c>
      <c r="B8" s="103">
        <v>45867</v>
      </c>
      <c r="C8" s="102">
        <v>100042</v>
      </c>
      <c r="D8" s="102" t="s">
        <v>53</v>
      </c>
      <c r="E8" s="102" t="s">
        <v>49</v>
      </c>
      <c r="F8" s="102" t="s">
        <v>50</v>
      </c>
      <c r="G8" s="102">
        <v>225493678</v>
      </c>
      <c r="H8" s="104" t="s">
        <v>51</v>
      </c>
      <c r="I8" s="102" t="s">
        <v>47</v>
      </c>
      <c r="J8" s="102">
        <v>50</v>
      </c>
      <c r="K8" s="102">
        <v>10</v>
      </c>
      <c r="L8" s="102">
        <f t="shared" si="4"/>
        <v>500</v>
      </c>
      <c r="M8" s="102">
        <f t="shared" si="0"/>
        <v>500</v>
      </c>
      <c r="N8" s="102">
        <v>0</v>
      </c>
      <c r="O8" s="102">
        <f t="shared" si="1"/>
        <v>500</v>
      </c>
      <c r="P8" s="105">
        <v>0.12</v>
      </c>
      <c r="Q8" s="102">
        <f>O8*P8</f>
        <v>60</v>
      </c>
      <c r="R8" s="102">
        <v>0</v>
      </c>
      <c r="S8" s="106">
        <f t="shared" si="3"/>
        <v>560</v>
      </c>
      <c r="T8" s="102">
        <v>0</v>
      </c>
    </row>
  </sheetData>
  <dataValidations count="1">
    <dataValidation type="list" allowBlank="1" showInputMessage="1" showErrorMessage="1" sqref="I2:I7" xr:uid="{BB57CA3A-C32E-4671-894F-0EA93E9DDF36}">
      <formula1>$I$2:$I$7</formula1>
    </dataValidation>
  </dataValidations>
  <hyperlinks>
    <hyperlink ref="H2" r:id="rId1" xr:uid="{3C1B49B1-86D9-48B7-86B1-DC734F1C71C4}"/>
    <hyperlink ref="H3" r:id="rId2" xr:uid="{0B81A251-E360-4856-8865-CE5B525293CB}"/>
    <hyperlink ref="H4:H6" r:id="rId3" display="xyz@gmail.com" xr:uid="{4D82DD0B-756E-44BC-8FA5-4A464FF5912B}"/>
    <hyperlink ref="H7" r:id="rId4" xr:uid="{B1AD0D9E-479F-4BE1-BCD5-0FBC2EE6743F}"/>
    <hyperlink ref="H8" r:id="rId5" xr:uid="{E96D9F58-6607-40B0-8807-1811598CEB49}"/>
  </hyperlinks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581FD-F605-420D-90FF-9A70A2FB6235}">
  <sheetPr codeName="Sheet4">
    <tabColor rgb="FF8496B0"/>
    <outlinePr summaryBelow="0" summaryRight="0"/>
    <pageSetUpPr fitToPage="1"/>
  </sheetPr>
  <dimension ref="A1:H1000"/>
  <sheetViews>
    <sheetView showGridLines="0" tabSelected="1" zoomScale="50" zoomScaleNormal="50" workbookViewId="0">
      <selection activeCell="O33" sqref="O33"/>
    </sheetView>
  </sheetViews>
  <sheetFormatPr defaultColWidth="12.5546875" defaultRowHeight="15" customHeight="1" x14ac:dyDescent="0.3"/>
  <cols>
    <col min="1" max="1" width="4.33203125" style="5" customWidth="1"/>
    <col min="2" max="2" width="11.6640625" style="5" customWidth="1"/>
    <col min="3" max="3" width="31.88671875" style="5" customWidth="1"/>
    <col min="4" max="4" width="7.44140625" style="5" customWidth="1"/>
    <col min="5" max="5" width="16.44140625" style="5" customWidth="1"/>
    <col min="6" max="6" width="20.33203125" style="5" customWidth="1"/>
    <col min="7" max="7" width="17.88671875" style="5" customWidth="1"/>
    <col min="8" max="8" width="4" style="5" customWidth="1"/>
    <col min="9" max="26" width="17.33203125" style="5" customWidth="1"/>
    <col min="27" max="16384" width="12.5546875" style="5"/>
  </cols>
  <sheetData>
    <row r="1" spans="1:8" ht="14.25" customHeight="1" x14ac:dyDescent="0.3">
      <c r="A1" s="1"/>
      <c r="B1" s="2"/>
      <c r="C1" s="2"/>
      <c r="D1" s="3"/>
      <c r="E1" s="3"/>
      <c r="F1" s="3"/>
      <c r="G1" s="4"/>
      <c r="H1" s="4"/>
    </row>
    <row r="2" spans="1:8" ht="25.5" customHeight="1" x14ac:dyDescent="0.3">
      <c r="A2" s="6"/>
      <c r="B2" s="7"/>
      <c r="C2" s="7"/>
      <c r="D2" s="8"/>
      <c r="E2" s="8"/>
      <c r="F2" s="8"/>
      <c r="G2" s="9"/>
      <c r="H2" s="9"/>
    </row>
    <row r="3" spans="1:8" ht="18.600000000000001" customHeight="1" x14ac:dyDescent="0.3">
      <c r="A3" s="10"/>
      <c r="B3" s="11"/>
      <c r="C3" s="12" t="s">
        <v>23</v>
      </c>
      <c r="D3" s="11"/>
      <c r="E3" s="6"/>
      <c r="F3" s="10"/>
      <c r="G3" s="71" t="s">
        <v>24</v>
      </c>
      <c r="H3" s="11"/>
    </row>
    <row r="4" spans="1:8" ht="18" customHeight="1" x14ac:dyDescent="0.3">
      <c r="A4" s="10"/>
      <c r="B4" s="11"/>
      <c r="C4" s="13" t="s">
        <v>25</v>
      </c>
      <c r="D4" s="11"/>
      <c r="E4" s="6"/>
      <c r="F4" s="10"/>
      <c r="G4" s="72"/>
      <c r="H4" s="11"/>
    </row>
    <row r="5" spans="1:8" ht="18" customHeight="1" x14ac:dyDescent="0.3">
      <c r="A5" s="10"/>
      <c r="B5" s="11"/>
      <c r="C5" s="14"/>
      <c r="D5" s="11"/>
      <c r="E5" s="6"/>
      <c r="F5" s="10"/>
      <c r="G5" s="72"/>
      <c r="H5" s="11"/>
    </row>
    <row r="6" spans="1:8" ht="18" customHeight="1" x14ac:dyDescent="0.3">
      <c r="A6" s="10"/>
      <c r="B6" s="15"/>
      <c r="C6" s="15"/>
      <c r="D6" s="6"/>
      <c r="E6" s="16"/>
      <c r="F6" s="6"/>
      <c r="G6" s="50" t="s">
        <v>21</v>
      </c>
      <c r="H6" s="17"/>
    </row>
    <row r="7" spans="1:8" ht="18" customHeight="1" x14ac:dyDescent="0.3">
      <c r="A7" s="10"/>
      <c r="B7" s="15"/>
      <c r="C7" s="15"/>
      <c r="D7" s="6"/>
      <c r="E7" s="18"/>
      <c r="F7" s="6"/>
      <c r="G7" s="51"/>
      <c r="H7" s="19"/>
    </row>
    <row r="8" spans="1:8" ht="18" customHeight="1" x14ac:dyDescent="0.3">
      <c r="A8" s="10"/>
      <c r="B8" s="15"/>
      <c r="C8" s="15"/>
      <c r="D8" s="6"/>
      <c r="E8" s="16"/>
      <c r="F8" s="6"/>
      <c r="G8" s="52" t="s">
        <v>44</v>
      </c>
      <c r="H8" s="17"/>
    </row>
    <row r="9" spans="1:8" ht="18" customHeight="1" x14ac:dyDescent="0.3">
      <c r="A9" s="10"/>
      <c r="B9" s="15"/>
      <c r="C9" s="15"/>
      <c r="D9" s="6"/>
      <c r="E9" s="20"/>
      <c r="F9" s="6"/>
      <c r="G9" s="20"/>
      <c r="H9" s="20"/>
    </row>
    <row r="10" spans="1:8" ht="18" customHeight="1" x14ac:dyDescent="0.3">
      <c r="A10" s="21"/>
      <c r="B10" s="22"/>
      <c r="C10" s="22"/>
      <c r="D10" s="23"/>
      <c r="E10" s="23"/>
      <c r="F10" s="73"/>
      <c r="G10" s="72"/>
      <c r="H10" s="24"/>
    </row>
    <row r="11" spans="1:8" ht="18" customHeight="1" x14ac:dyDescent="0.3">
      <c r="A11" s="21"/>
      <c r="B11" s="25"/>
      <c r="C11" s="25"/>
      <c r="D11" s="23"/>
      <c r="E11" s="74" t="s">
        <v>26</v>
      </c>
      <c r="F11" s="72"/>
      <c r="G11" s="72"/>
      <c r="H11" s="26"/>
    </row>
    <row r="12" spans="1:8" ht="15.75" customHeight="1" x14ac:dyDescent="0.3">
      <c r="A12" s="21"/>
      <c r="B12" s="75" t="s">
        <v>27</v>
      </c>
      <c r="C12" s="76"/>
      <c r="D12" s="23"/>
      <c r="E12" s="27"/>
      <c r="F12" s="28"/>
      <c r="G12" s="28"/>
      <c r="H12" s="29"/>
    </row>
    <row r="13" spans="1:8" ht="4.2" customHeight="1" x14ac:dyDescent="0.3">
      <c r="A13" s="21"/>
      <c r="B13" s="23"/>
      <c r="C13" s="23"/>
      <c r="D13" s="30"/>
      <c r="E13" s="23"/>
      <c r="F13" s="23"/>
      <c r="G13" s="23"/>
      <c r="H13" s="23"/>
    </row>
    <row r="14" spans="1:8" ht="18" customHeight="1" x14ac:dyDescent="0.3">
      <c r="A14" s="21"/>
      <c r="B14" s="70" t="s">
        <v>28</v>
      </c>
      <c r="C14" s="70"/>
      <c r="D14" s="31"/>
      <c r="E14" s="32"/>
      <c r="F14" s="32"/>
      <c r="G14" s="32"/>
      <c r="H14" s="32"/>
    </row>
    <row r="15" spans="1:8" ht="18" customHeight="1" x14ac:dyDescent="0.3">
      <c r="A15" s="21"/>
      <c r="B15" s="70" t="s">
        <v>29</v>
      </c>
      <c r="C15" s="70"/>
      <c r="D15" s="31"/>
      <c r="E15" s="32"/>
      <c r="F15" s="32"/>
      <c r="G15" s="32"/>
      <c r="H15" s="32"/>
    </row>
    <row r="16" spans="1:8" ht="18" customHeight="1" x14ac:dyDescent="0.3">
      <c r="A16" s="21"/>
      <c r="B16" s="70" t="s">
        <v>30</v>
      </c>
      <c r="C16" s="78"/>
      <c r="D16" s="31"/>
      <c r="E16" s="32"/>
      <c r="F16" s="32"/>
      <c r="G16" s="32"/>
      <c r="H16" s="32"/>
    </row>
    <row r="17" spans="1:8" ht="18" customHeight="1" x14ac:dyDescent="0.3">
      <c r="A17" s="21"/>
      <c r="B17" s="70" t="s">
        <v>31</v>
      </c>
      <c r="C17" s="78"/>
      <c r="D17" s="31"/>
      <c r="E17" s="32"/>
      <c r="F17" s="32"/>
      <c r="G17" s="32"/>
      <c r="H17" s="32"/>
    </row>
    <row r="18" spans="1:8" ht="18" customHeight="1" x14ac:dyDescent="0.3">
      <c r="A18" s="21"/>
      <c r="B18" s="70" t="s">
        <v>32</v>
      </c>
      <c r="C18" s="70"/>
      <c r="D18" s="31"/>
      <c r="E18" s="32"/>
      <c r="F18" s="32"/>
      <c r="G18" s="32"/>
      <c r="H18" s="32"/>
    </row>
    <row r="19" spans="1:8" ht="18" customHeight="1" x14ac:dyDescent="0.3">
      <c r="A19" s="21"/>
      <c r="B19" s="32"/>
      <c r="C19" s="32"/>
      <c r="D19" s="31"/>
      <c r="E19" s="80"/>
      <c r="F19" s="72"/>
      <c r="G19" s="72"/>
      <c r="H19" s="33"/>
    </row>
    <row r="20" spans="1:8" ht="4.2" customHeight="1" x14ac:dyDescent="0.3">
      <c r="A20" s="21"/>
      <c r="B20" s="23"/>
      <c r="C20" s="23"/>
      <c r="D20" s="23"/>
      <c r="E20" s="23"/>
      <c r="F20" s="23"/>
      <c r="G20" s="23"/>
      <c r="H20" s="23"/>
    </row>
    <row r="21" spans="1:8" ht="18" customHeight="1" x14ac:dyDescent="0.3">
      <c r="A21" s="21"/>
      <c r="B21" s="81" t="s">
        <v>33</v>
      </c>
      <c r="C21" s="82"/>
      <c r="D21" s="82"/>
      <c r="E21" s="69" t="s">
        <v>14</v>
      </c>
      <c r="F21" s="69" t="s">
        <v>34</v>
      </c>
      <c r="G21" s="69" t="s">
        <v>35</v>
      </c>
      <c r="H21" s="34"/>
    </row>
    <row r="22" spans="1:8" ht="18" customHeight="1" x14ac:dyDescent="0.3">
      <c r="A22" s="21"/>
      <c r="B22" s="83"/>
      <c r="C22" s="84"/>
      <c r="D22" s="85"/>
      <c r="E22" s="53"/>
      <c r="F22" s="54"/>
      <c r="G22" s="54">
        <v>0</v>
      </c>
      <c r="H22" s="35"/>
    </row>
    <row r="23" spans="1:8" ht="18" customHeight="1" x14ac:dyDescent="0.3">
      <c r="A23" s="21"/>
      <c r="B23" s="86"/>
      <c r="C23" s="78"/>
      <c r="D23" s="79"/>
      <c r="E23" s="55"/>
      <c r="F23" s="56"/>
      <c r="G23" s="56">
        <f t="shared" ref="G23:G32" si="0">E23*F23</f>
        <v>0</v>
      </c>
      <c r="H23" s="35"/>
    </row>
    <row r="24" spans="1:8" ht="18" customHeight="1" x14ac:dyDescent="0.3">
      <c r="A24" s="21"/>
      <c r="B24" s="77"/>
      <c r="C24" s="78"/>
      <c r="D24" s="79"/>
      <c r="E24" s="57"/>
      <c r="F24" s="58"/>
      <c r="G24" s="58">
        <f t="shared" si="0"/>
        <v>0</v>
      </c>
      <c r="H24" s="35"/>
    </row>
    <row r="25" spans="1:8" ht="18" customHeight="1" x14ac:dyDescent="0.3">
      <c r="A25" s="21"/>
      <c r="B25" s="86"/>
      <c r="C25" s="78"/>
      <c r="D25" s="79"/>
      <c r="E25" s="55"/>
      <c r="F25" s="56"/>
      <c r="G25" s="56">
        <f t="shared" si="0"/>
        <v>0</v>
      </c>
      <c r="H25" s="35"/>
    </row>
    <row r="26" spans="1:8" ht="18" customHeight="1" x14ac:dyDescent="0.3">
      <c r="A26" s="21"/>
      <c r="B26" s="77"/>
      <c r="C26" s="78"/>
      <c r="D26" s="79"/>
      <c r="E26" s="57"/>
      <c r="F26" s="58"/>
      <c r="G26" s="58">
        <f t="shared" si="0"/>
        <v>0</v>
      </c>
      <c r="H26" s="35"/>
    </row>
    <row r="27" spans="1:8" ht="18" customHeight="1" x14ac:dyDescent="0.3">
      <c r="A27" s="21"/>
      <c r="B27" s="86"/>
      <c r="C27" s="78"/>
      <c r="D27" s="79"/>
      <c r="E27" s="55"/>
      <c r="F27" s="56"/>
      <c r="G27" s="56">
        <f t="shared" si="0"/>
        <v>0</v>
      </c>
      <c r="H27" s="35"/>
    </row>
    <row r="28" spans="1:8" ht="18" customHeight="1" x14ac:dyDescent="0.3">
      <c r="A28" s="21"/>
      <c r="B28" s="77"/>
      <c r="C28" s="78"/>
      <c r="D28" s="79"/>
      <c r="E28" s="57"/>
      <c r="F28" s="58"/>
      <c r="G28" s="58">
        <f t="shared" si="0"/>
        <v>0</v>
      </c>
      <c r="H28" s="35"/>
    </row>
    <row r="29" spans="1:8" ht="18" customHeight="1" x14ac:dyDescent="0.3">
      <c r="A29" s="21"/>
      <c r="B29" s="86"/>
      <c r="C29" s="78"/>
      <c r="D29" s="79"/>
      <c r="E29" s="55"/>
      <c r="F29" s="56"/>
      <c r="G29" s="56">
        <f t="shared" si="0"/>
        <v>0</v>
      </c>
      <c r="H29" s="35"/>
    </row>
    <row r="30" spans="1:8" ht="18" customHeight="1" x14ac:dyDescent="0.3">
      <c r="A30" s="21"/>
      <c r="B30" s="77"/>
      <c r="C30" s="78"/>
      <c r="D30" s="79"/>
      <c r="E30" s="57"/>
      <c r="F30" s="58"/>
      <c r="G30" s="58">
        <f t="shared" si="0"/>
        <v>0</v>
      </c>
      <c r="H30" s="35"/>
    </row>
    <row r="31" spans="1:8" ht="18" customHeight="1" x14ac:dyDescent="0.3">
      <c r="A31" s="21"/>
      <c r="B31" s="86"/>
      <c r="C31" s="78"/>
      <c r="D31" s="79"/>
      <c r="E31" s="55"/>
      <c r="F31" s="56"/>
      <c r="G31" s="56">
        <f t="shared" si="0"/>
        <v>0</v>
      </c>
      <c r="H31" s="35"/>
    </row>
    <row r="32" spans="1:8" ht="18" customHeight="1" x14ac:dyDescent="0.3">
      <c r="A32" s="21"/>
      <c r="B32" s="92"/>
      <c r="C32" s="93"/>
      <c r="D32" s="94"/>
      <c r="E32" s="59"/>
      <c r="F32" s="60"/>
      <c r="G32" s="60">
        <f t="shared" si="0"/>
        <v>0</v>
      </c>
      <c r="H32" s="35"/>
    </row>
    <row r="33" spans="1:8" ht="19.5" customHeight="1" x14ac:dyDescent="0.3">
      <c r="A33" s="21"/>
      <c r="B33" s="98" t="s">
        <v>36</v>
      </c>
      <c r="C33" s="98"/>
      <c r="D33" s="98"/>
      <c r="E33" s="48"/>
      <c r="F33" s="61" t="s">
        <v>37</v>
      </c>
      <c r="G33" s="62">
        <f>SUM(G22:G32)</f>
        <v>0</v>
      </c>
      <c r="H33" s="37"/>
    </row>
    <row r="34" spans="1:8" ht="19.5" customHeight="1" x14ac:dyDescent="0.3">
      <c r="A34" s="21"/>
      <c r="B34" s="63"/>
      <c r="C34" s="95"/>
      <c r="D34" s="78"/>
      <c r="E34" s="48"/>
      <c r="F34" s="61" t="s">
        <v>38</v>
      </c>
      <c r="G34" s="64">
        <v>0</v>
      </c>
      <c r="H34" s="37"/>
    </row>
    <row r="35" spans="1:8" ht="19.5" customHeight="1" x14ac:dyDescent="0.3">
      <c r="A35" s="21"/>
      <c r="B35" s="63"/>
      <c r="C35" s="78"/>
      <c r="D35" s="78"/>
      <c r="E35" s="48"/>
      <c r="F35" s="61" t="s">
        <v>39</v>
      </c>
      <c r="G35" s="64">
        <f>G33-G34</f>
        <v>0</v>
      </c>
      <c r="H35" s="37"/>
    </row>
    <row r="36" spans="1:8" ht="19.5" customHeight="1" x14ac:dyDescent="0.3">
      <c r="A36" s="21"/>
      <c r="B36" s="63"/>
      <c r="C36" s="78"/>
      <c r="D36" s="78"/>
      <c r="E36" s="48"/>
      <c r="F36" s="61" t="s">
        <v>40</v>
      </c>
      <c r="G36" s="65">
        <v>0.12</v>
      </c>
      <c r="H36" s="38"/>
    </row>
    <row r="37" spans="1:8" ht="19.5" customHeight="1" x14ac:dyDescent="0.3">
      <c r="A37" s="21"/>
      <c r="B37" s="63"/>
      <c r="C37" s="78"/>
      <c r="D37" s="78"/>
      <c r="E37" s="48"/>
      <c r="F37" s="61" t="s">
        <v>41</v>
      </c>
      <c r="G37" s="64">
        <v>0</v>
      </c>
      <c r="H37" s="37"/>
    </row>
    <row r="38" spans="1:8" ht="19.5" customHeight="1" x14ac:dyDescent="0.3">
      <c r="A38" s="21"/>
      <c r="B38" s="63"/>
      <c r="C38" s="78"/>
      <c r="D38" s="78"/>
      <c r="E38" s="48"/>
      <c r="F38" s="61" t="s">
        <v>42</v>
      </c>
      <c r="G38" s="66">
        <v>0</v>
      </c>
      <c r="H38" s="39"/>
    </row>
    <row r="39" spans="1:8" ht="33.75" customHeight="1" x14ac:dyDescent="0.3">
      <c r="A39" s="21"/>
      <c r="B39" s="67"/>
      <c r="C39" s="96"/>
      <c r="D39" s="97"/>
      <c r="E39" s="36"/>
      <c r="F39" s="40" t="s">
        <v>43</v>
      </c>
      <c r="G39" s="68">
        <f>G35+G37+G38</f>
        <v>0</v>
      </c>
      <c r="H39" s="41"/>
    </row>
    <row r="40" spans="1:8" ht="9.75" customHeight="1" x14ac:dyDescent="0.3">
      <c r="A40" s="21"/>
      <c r="B40" s="49"/>
      <c r="C40" s="87"/>
      <c r="D40" s="88"/>
      <c r="E40" s="88"/>
      <c r="F40" s="88"/>
      <c r="G40" s="88"/>
      <c r="H40" s="42"/>
    </row>
    <row r="41" spans="1:8" ht="9.75" customHeight="1" x14ac:dyDescent="0.3">
      <c r="A41" s="21"/>
      <c r="B41" s="42"/>
      <c r="C41" s="42"/>
      <c r="D41" s="42"/>
      <c r="E41" s="42"/>
      <c r="F41" s="42"/>
      <c r="G41" s="42"/>
      <c r="H41" s="42"/>
    </row>
    <row r="42" spans="1:8" ht="15.75" customHeight="1" x14ac:dyDescent="0.3">
      <c r="A42" s="21"/>
      <c r="B42" s="43"/>
      <c r="C42" s="89"/>
      <c r="D42" s="72"/>
      <c r="E42" s="72"/>
      <c r="F42" s="72"/>
      <c r="G42" s="72"/>
      <c r="H42" s="43"/>
    </row>
    <row r="43" spans="1:8" ht="15.75" customHeight="1" x14ac:dyDescent="0.3">
      <c r="A43" s="21"/>
      <c r="B43" s="44"/>
      <c r="C43" s="90"/>
      <c r="D43" s="72"/>
      <c r="E43" s="72"/>
      <c r="F43" s="72"/>
      <c r="G43" s="72"/>
      <c r="H43" s="44"/>
    </row>
    <row r="44" spans="1:8" ht="21" customHeight="1" x14ac:dyDescent="0.3">
      <c r="A44" s="45"/>
      <c r="B44" s="46"/>
      <c r="C44" s="91"/>
      <c r="D44" s="72"/>
      <c r="E44" s="72"/>
      <c r="F44" s="72"/>
      <c r="G44" s="72"/>
      <c r="H44" s="46"/>
    </row>
    <row r="45" spans="1:8" ht="15.75" customHeight="1" x14ac:dyDescent="0.3">
      <c r="A45" s="21"/>
      <c r="B45" s="21"/>
      <c r="C45" s="21"/>
      <c r="D45" s="21"/>
      <c r="E45" s="21"/>
      <c r="F45" s="21"/>
      <c r="G45" s="21"/>
      <c r="H45" s="21"/>
    </row>
    <row r="46" spans="1:8" ht="15.75" customHeight="1" x14ac:dyDescent="0.3">
      <c r="A46" s="47"/>
      <c r="B46" s="47"/>
      <c r="C46" s="47"/>
      <c r="D46" s="47"/>
      <c r="E46" s="47"/>
      <c r="F46" s="47"/>
      <c r="G46" s="47"/>
      <c r="H46" s="47"/>
    </row>
    <row r="47" spans="1:8" ht="15.75" customHeight="1" x14ac:dyDescent="0.3"/>
    <row r="48" spans="1: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29">
    <mergeCell ref="C40:G40"/>
    <mergeCell ref="C42:G42"/>
    <mergeCell ref="C43:G43"/>
    <mergeCell ref="C44:G44"/>
    <mergeCell ref="B29:D29"/>
    <mergeCell ref="B30:D30"/>
    <mergeCell ref="B31:D31"/>
    <mergeCell ref="B32:D32"/>
    <mergeCell ref="C34:D38"/>
    <mergeCell ref="C39:D39"/>
    <mergeCell ref="B33:D33"/>
    <mergeCell ref="B28:D28"/>
    <mergeCell ref="B16:C16"/>
    <mergeCell ref="B17:C17"/>
    <mergeCell ref="B18:C18"/>
    <mergeCell ref="E19:G19"/>
    <mergeCell ref="B21:D21"/>
    <mergeCell ref="B22:D22"/>
    <mergeCell ref="B23:D23"/>
    <mergeCell ref="B24:D24"/>
    <mergeCell ref="B25:D25"/>
    <mergeCell ref="B26:D26"/>
    <mergeCell ref="B27:D27"/>
    <mergeCell ref="B15:C15"/>
    <mergeCell ref="G3:G5"/>
    <mergeCell ref="F10:G10"/>
    <mergeCell ref="E11:G11"/>
    <mergeCell ref="B12:C12"/>
    <mergeCell ref="B14:C14"/>
  </mergeCells>
  <printOptions horizontalCentered="1" verticalCentered="1"/>
  <pageMargins left="0" right="0" top="0.5" bottom="0.5" header="0" footer="0"/>
  <pageSetup scale="84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F64DC-BA34-48B4-A280-C289B7CC8F52}">
  <sheetPr codeName="Sheet5">
    <tabColor rgb="FF8496B0"/>
    <outlinePr summaryBelow="0" summaryRight="0"/>
    <pageSetUpPr fitToPage="1"/>
  </sheetPr>
  <dimension ref="A1:H1000"/>
  <sheetViews>
    <sheetView showGridLines="0" topLeftCell="A19" zoomScale="70" zoomScaleNormal="70" workbookViewId="0">
      <selection activeCell="G39" sqref="G39"/>
    </sheetView>
  </sheetViews>
  <sheetFormatPr defaultColWidth="12.5546875" defaultRowHeight="15" customHeight="1" x14ac:dyDescent="0.3"/>
  <cols>
    <col min="1" max="1" width="4.33203125" style="5" customWidth="1"/>
    <col min="2" max="2" width="11.6640625" style="5" customWidth="1"/>
    <col min="3" max="3" width="31.88671875" style="5" customWidth="1"/>
    <col min="4" max="4" width="7.44140625" style="5" customWidth="1"/>
    <col min="5" max="5" width="16.44140625" style="5" customWidth="1"/>
    <col min="6" max="6" width="20.33203125" style="5" customWidth="1"/>
    <col min="7" max="7" width="17.88671875" style="5" customWidth="1"/>
    <col min="8" max="8" width="4" style="5" customWidth="1"/>
    <col min="9" max="26" width="17.33203125" style="5" customWidth="1"/>
    <col min="27" max="16384" width="12.5546875" style="5"/>
  </cols>
  <sheetData>
    <row r="1" spans="1:8" ht="14.25" customHeight="1" x14ac:dyDescent="0.3">
      <c r="A1" s="1"/>
      <c r="B1" s="2"/>
      <c r="C1" s="2"/>
      <c r="D1" s="3"/>
      <c r="E1" s="3"/>
      <c r="F1" s="3"/>
      <c r="G1" s="4"/>
      <c r="H1" s="4"/>
    </row>
    <row r="2" spans="1:8" ht="25.5" customHeight="1" x14ac:dyDescent="0.3">
      <c r="A2" s="6"/>
      <c r="B2" s="7"/>
      <c r="C2" s="7"/>
      <c r="D2" s="8"/>
      <c r="E2" s="8"/>
      <c r="F2" s="8"/>
      <c r="G2" s="9"/>
      <c r="H2" s="9"/>
    </row>
    <row r="3" spans="1:8" ht="18.600000000000001" customHeight="1" x14ac:dyDescent="0.3">
      <c r="A3" s="10"/>
      <c r="B3" s="11"/>
      <c r="C3" s="12" t="s">
        <v>23</v>
      </c>
      <c r="D3" s="11"/>
      <c r="E3" s="6"/>
      <c r="F3" s="10"/>
      <c r="G3" s="71" t="s">
        <v>24</v>
      </c>
      <c r="H3" s="11"/>
    </row>
    <row r="4" spans="1:8" ht="18" customHeight="1" x14ac:dyDescent="0.3">
      <c r="A4" s="10"/>
      <c r="B4" s="11"/>
      <c r="C4" s="13" t="s">
        <v>25</v>
      </c>
      <c r="D4" s="11"/>
      <c r="E4" s="6"/>
      <c r="F4" s="10"/>
      <c r="G4" s="72"/>
      <c r="H4" s="11"/>
    </row>
    <row r="5" spans="1:8" ht="18" customHeight="1" x14ac:dyDescent="0.3">
      <c r="A5" s="10"/>
      <c r="B5" s="11"/>
      <c r="C5" s="14"/>
      <c r="D5" s="11"/>
      <c r="E5" s="6"/>
      <c r="F5" s="10"/>
      <c r="G5" s="72"/>
      <c r="H5" s="11"/>
    </row>
    <row r="6" spans="1:8" ht="18" customHeight="1" x14ac:dyDescent="0.3">
      <c r="A6" s="10"/>
      <c r="B6" s="15"/>
      <c r="C6" s="15"/>
      <c r="D6" s="6"/>
      <c r="E6" s="16"/>
      <c r="F6" s="6"/>
      <c r="G6" s="50" t="s">
        <v>55</v>
      </c>
      <c r="H6" s="17"/>
    </row>
    <row r="7" spans="1:8" ht="18" customHeight="1" x14ac:dyDescent="0.3">
      <c r="A7" s="10"/>
      <c r="B7" s="15"/>
      <c r="C7" s="15"/>
      <c r="D7" s="6"/>
      <c r="E7" s="18"/>
      <c r="F7" s="6"/>
      <c r="G7" s="51"/>
      <c r="H7" s="19"/>
    </row>
    <row r="8" spans="1:8" ht="18" customHeight="1" x14ac:dyDescent="0.3">
      <c r="A8" s="10"/>
      <c r="B8" s="15"/>
      <c r="C8" s="15"/>
      <c r="D8" s="6"/>
      <c r="E8" s="16"/>
      <c r="F8" s="6"/>
      <c r="G8" s="52">
        <v>100041</v>
      </c>
      <c r="H8" s="17"/>
    </row>
    <row r="9" spans="1:8" ht="18" customHeight="1" x14ac:dyDescent="0.3">
      <c r="A9" s="10"/>
      <c r="B9" s="15"/>
      <c r="C9" s="15"/>
      <c r="D9" s="6"/>
      <c r="E9" s="20"/>
      <c r="F9" s="6"/>
      <c r="G9" s="20"/>
      <c r="H9" s="20"/>
    </row>
    <row r="10" spans="1:8" ht="18" customHeight="1" x14ac:dyDescent="0.3">
      <c r="A10" s="21"/>
      <c r="B10" s="22"/>
      <c r="C10" s="22"/>
      <c r="D10" s="23"/>
      <c r="E10" s="23"/>
      <c r="F10" s="73"/>
      <c r="G10" s="72"/>
      <c r="H10" s="24"/>
    </row>
    <row r="11" spans="1:8" ht="18" customHeight="1" x14ac:dyDescent="0.3">
      <c r="A11" s="21"/>
      <c r="B11" s="25"/>
      <c r="C11" s="25"/>
      <c r="D11" s="23"/>
      <c r="E11" s="74" t="s">
        <v>26</v>
      </c>
      <c r="F11" s="72"/>
      <c r="G11" s="72"/>
      <c r="H11" s="26"/>
    </row>
    <row r="12" spans="1:8" ht="15.75" customHeight="1" x14ac:dyDescent="0.3">
      <c r="A12" s="21"/>
      <c r="B12" s="75" t="s">
        <v>27</v>
      </c>
      <c r="C12" s="76"/>
      <c r="D12" s="23"/>
      <c r="E12" s="27"/>
      <c r="F12" s="28"/>
      <c r="G12" s="28"/>
      <c r="H12" s="29"/>
    </row>
    <row r="13" spans="1:8" ht="4.2" customHeight="1" x14ac:dyDescent="0.3">
      <c r="A13" s="21"/>
      <c r="B13" s="23"/>
      <c r="C13" s="23"/>
      <c r="D13" s="30"/>
      <c r="E13" s="23"/>
      <c r="F13" s="23"/>
      <c r="G13" s="23"/>
      <c r="H13" s="23"/>
    </row>
    <row r="14" spans="1:8" ht="18" customHeight="1" x14ac:dyDescent="0.3">
      <c r="A14" s="21"/>
      <c r="B14" s="70" t="s">
        <v>52</v>
      </c>
      <c r="C14" s="70"/>
      <c r="D14" s="31"/>
      <c r="E14" s="32"/>
      <c r="F14" s="32"/>
      <c r="G14" s="32"/>
      <c r="H14" s="32"/>
    </row>
    <row r="15" spans="1:8" ht="18" customHeight="1" x14ac:dyDescent="0.3">
      <c r="A15" s="21"/>
      <c r="B15" s="70" t="s">
        <v>3</v>
      </c>
      <c r="C15" s="70"/>
      <c r="D15" s="31"/>
      <c r="E15" s="32"/>
      <c r="F15" s="32"/>
      <c r="G15" s="32"/>
      <c r="H15" s="32"/>
    </row>
    <row r="16" spans="1:8" ht="18" customHeight="1" x14ac:dyDescent="0.3">
      <c r="A16" s="21"/>
      <c r="B16" s="70" t="s">
        <v>2</v>
      </c>
      <c r="C16" s="78"/>
      <c r="D16" s="31"/>
      <c r="E16" s="32"/>
      <c r="F16" s="32"/>
      <c r="G16" s="32"/>
      <c r="H16" s="32"/>
    </row>
    <row r="17" spans="1:8" ht="18" customHeight="1" x14ac:dyDescent="0.3">
      <c r="A17" s="21"/>
      <c r="B17" s="70">
        <v>9875642312</v>
      </c>
      <c r="C17" s="78"/>
      <c r="D17" s="31"/>
      <c r="E17" s="32"/>
      <c r="F17" s="32"/>
      <c r="G17" s="32"/>
      <c r="H17" s="32"/>
    </row>
    <row r="18" spans="1:8" ht="18" customHeight="1" x14ac:dyDescent="0.3">
      <c r="A18" s="21"/>
      <c r="B18" s="70" t="s">
        <v>1</v>
      </c>
      <c r="C18" s="70"/>
      <c r="D18" s="31"/>
      <c r="E18" s="32"/>
      <c r="F18" s="32"/>
      <c r="G18" s="32"/>
      <c r="H18" s="32"/>
    </row>
    <row r="19" spans="1:8" ht="18" customHeight="1" x14ac:dyDescent="0.3">
      <c r="A19" s="21"/>
      <c r="B19" s="32"/>
      <c r="C19" s="32"/>
      <c r="D19" s="31"/>
      <c r="E19" s="80"/>
      <c r="F19" s="72"/>
      <c r="G19" s="72"/>
      <c r="H19" s="33"/>
    </row>
    <row r="20" spans="1:8" ht="4.2" customHeight="1" x14ac:dyDescent="0.3">
      <c r="A20" s="21"/>
      <c r="B20" s="23"/>
      <c r="C20" s="23"/>
      <c r="D20" s="23"/>
      <c r="E20" s="23"/>
      <c r="F20" s="23"/>
      <c r="G20" s="23"/>
      <c r="H20" s="23"/>
    </row>
    <row r="21" spans="1:8" ht="18" customHeight="1" x14ac:dyDescent="0.3">
      <c r="A21" s="21"/>
      <c r="B21" s="81" t="s">
        <v>33</v>
      </c>
      <c r="C21" s="82"/>
      <c r="D21" s="82"/>
      <c r="E21" s="69" t="s">
        <v>14</v>
      </c>
      <c r="F21" s="69" t="s">
        <v>34</v>
      </c>
      <c r="G21" s="69" t="s">
        <v>35</v>
      </c>
      <c r="H21" s="34"/>
    </row>
    <row r="22" spans="1:8" ht="18" customHeight="1" x14ac:dyDescent="0.3">
      <c r="A22" s="21"/>
      <c r="B22" s="83" t="s">
        <v>46</v>
      </c>
      <c r="C22" s="84"/>
      <c r="D22" s="85"/>
      <c r="E22" s="53">
        <v>25</v>
      </c>
      <c r="F22" s="54">
        <v>80</v>
      </c>
      <c r="G22" s="54">
        <v>2000</v>
      </c>
      <c r="H22" s="35"/>
    </row>
    <row r="23" spans="1:8" ht="18" customHeight="1" x14ac:dyDescent="0.3">
      <c r="A23" s="21"/>
      <c r="B23" s="86" t="s">
        <v>47</v>
      </c>
      <c r="C23" s="78"/>
      <c r="D23" s="79"/>
      <c r="E23" s="55">
        <v>100</v>
      </c>
      <c r="F23" s="56">
        <v>10</v>
      </c>
      <c r="G23" s="56">
        <v>1000</v>
      </c>
      <c r="H23" s="35"/>
    </row>
    <row r="24" spans="1:8" ht="18" customHeight="1" x14ac:dyDescent="0.3">
      <c r="A24" s="21"/>
      <c r="B24" s="77" t="s">
        <v>0</v>
      </c>
      <c r="C24" s="78"/>
      <c r="D24" s="79"/>
      <c r="E24" s="57">
        <v>30</v>
      </c>
      <c r="F24" s="58">
        <v>100</v>
      </c>
      <c r="G24" s="58">
        <v>3000</v>
      </c>
      <c r="H24" s="35"/>
    </row>
    <row r="25" spans="1:8" ht="18" customHeight="1" x14ac:dyDescent="0.3">
      <c r="A25" s="21"/>
      <c r="B25" s="86" t="s">
        <v>48</v>
      </c>
      <c r="C25" s="78"/>
      <c r="D25" s="79"/>
      <c r="E25" s="55">
        <v>20</v>
      </c>
      <c r="F25" s="56">
        <v>90</v>
      </c>
      <c r="G25" s="56">
        <v>1800</v>
      </c>
      <c r="H25" s="35"/>
    </row>
    <row r="26" spans="1:8" ht="18" customHeight="1" x14ac:dyDescent="0.3">
      <c r="A26" s="21"/>
      <c r="B26" s="77" t="s">
        <v>4</v>
      </c>
      <c r="C26" s="78"/>
      <c r="D26" s="79"/>
      <c r="E26" s="57">
        <v>50</v>
      </c>
      <c r="F26" s="58">
        <v>120</v>
      </c>
      <c r="G26" s="58">
        <v>6000</v>
      </c>
      <c r="H26" s="35"/>
    </row>
    <row r="27" spans="1:8" ht="18" customHeight="1" x14ac:dyDescent="0.3">
      <c r="A27" s="21"/>
      <c r="B27" s="86"/>
      <c r="C27" s="78"/>
      <c r="D27" s="79"/>
      <c r="E27" s="55"/>
      <c r="F27" s="56"/>
      <c r="G27" s="56">
        <f t="shared" ref="G23:G32" si="0">E27*F27</f>
        <v>0</v>
      </c>
      <c r="H27" s="35"/>
    </row>
    <row r="28" spans="1:8" ht="18" customHeight="1" x14ac:dyDescent="0.3">
      <c r="A28" s="21"/>
      <c r="B28" s="77"/>
      <c r="C28" s="78"/>
      <c r="D28" s="79"/>
      <c r="E28" s="57"/>
      <c r="F28" s="58"/>
      <c r="G28" s="58">
        <f t="shared" si="0"/>
        <v>0</v>
      </c>
      <c r="H28" s="35"/>
    </row>
    <row r="29" spans="1:8" ht="18" customHeight="1" x14ac:dyDescent="0.3">
      <c r="A29" s="21"/>
      <c r="B29" s="86"/>
      <c r="C29" s="78"/>
      <c r="D29" s="79"/>
      <c r="E29" s="55"/>
      <c r="F29" s="56"/>
      <c r="G29" s="56">
        <f t="shared" si="0"/>
        <v>0</v>
      </c>
      <c r="H29" s="35"/>
    </row>
    <row r="30" spans="1:8" ht="18" customHeight="1" x14ac:dyDescent="0.3">
      <c r="A30" s="21"/>
      <c r="B30" s="77"/>
      <c r="C30" s="78"/>
      <c r="D30" s="79"/>
      <c r="E30" s="57"/>
      <c r="F30" s="58"/>
      <c r="G30" s="58">
        <f t="shared" si="0"/>
        <v>0</v>
      </c>
      <c r="H30" s="35"/>
    </row>
    <row r="31" spans="1:8" ht="18" customHeight="1" x14ac:dyDescent="0.3">
      <c r="A31" s="21"/>
      <c r="B31" s="86"/>
      <c r="C31" s="78"/>
      <c r="D31" s="79"/>
      <c r="E31" s="55"/>
      <c r="F31" s="56"/>
      <c r="G31" s="56">
        <f t="shared" si="0"/>
        <v>0</v>
      </c>
      <c r="H31" s="35"/>
    </row>
    <row r="32" spans="1:8" ht="18" customHeight="1" x14ac:dyDescent="0.3">
      <c r="A32" s="21"/>
      <c r="B32" s="92"/>
      <c r="C32" s="93"/>
      <c r="D32" s="94"/>
      <c r="E32" s="59"/>
      <c r="F32" s="60"/>
      <c r="G32" s="60">
        <f t="shared" si="0"/>
        <v>0</v>
      </c>
      <c r="H32" s="35"/>
    </row>
    <row r="33" spans="1:8" ht="19.5" customHeight="1" x14ac:dyDescent="0.3">
      <c r="A33" s="21"/>
      <c r="B33" s="98" t="s">
        <v>36</v>
      </c>
      <c r="C33" s="98"/>
      <c r="D33" s="98"/>
      <c r="E33" s="48"/>
      <c r="F33" s="61" t="s">
        <v>37</v>
      </c>
      <c r="G33" s="62">
        <f>SUM(G22:G32)</f>
        <v>13800</v>
      </c>
      <c r="H33" s="37"/>
    </row>
    <row r="34" spans="1:8" ht="19.5" customHeight="1" x14ac:dyDescent="0.3">
      <c r="A34" s="21"/>
      <c r="B34" s="63"/>
      <c r="C34" s="95"/>
      <c r="D34" s="78"/>
      <c r="E34" s="48"/>
      <c r="F34" s="61" t="s">
        <v>38</v>
      </c>
      <c r="G34" s="64">
        <v>150</v>
      </c>
      <c r="H34" s="37"/>
    </row>
    <row r="35" spans="1:8" ht="19.5" customHeight="1" x14ac:dyDescent="0.3">
      <c r="A35" s="21"/>
      <c r="B35" s="63"/>
      <c r="C35" s="78"/>
      <c r="D35" s="78"/>
      <c r="E35" s="48"/>
      <c r="F35" s="61" t="s">
        <v>39</v>
      </c>
      <c r="G35" s="64">
        <f>G33-G34</f>
        <v>13650</v>
      </c>
      <c r="H35" s="37"/>
    </row>
    <row r="36" spans="1:8" ht="19.5" customHeight="1" x14ac:dyDescent="0.3">
      <c r="A36" s="21"/>
      <c r="B36" s="63"/>
      <c r="C36" s="78"/>
      <c r="D36" s="78"/>
      <c r="E36" s="48"/>
      <c r="F36" s="61" t="s">
        <v>40</v>
      </c>
      <c r="G36" s="65">
        <v>0.12</v>
      </c>
      <c r="H36" s="38"/>
    </row>
    <row r="37" spans="1:8" ht="19.5" customHeight="1" x14ac:dyDescent="0.3">
      <c r="A37" s="21"/>
      <c r="B37" s="63"/>
      <c r="C37" s="78"/>
      <c r="D37" s="78"/>
      <c r="E37" s="48"/>
      <c r="F37" s="61" t="s">
        <v>41</v>
      </c>
      <c r="G37" s="64">
        <v>240</v>
      </c>
      <c r="H37" s="37"/>
    </row>
    <row r="38" spans="1:8" ht="19.5" customHeight="1" x14ac:dyDescent="0.3">
      <c r="A38" s="21"/>
      <c r="B38" s="63"/>
      <c r="C38" s="78"/>
      <c r="D38" s="78"/>
      <c r="E38" s="48"/>
      <c r="F38" s="61" t="s">
        <v>42</v>
      </c>
      <c r="G38" s="66">
        <v>500</v>
      </c>
      <c r="H38" s="39"/>
    </row>
    <row r="39" spans="1:8" ht="33.75" customHeight="1" x14ac:dyDescent="0.3">
      <c r="A39" s="21"/>
      <c r="B39" s="67"/>
      <c r="C39" s="96"/>
      <c r="D39" s="97"/>
      <c r="E39" s="36"/>
      <c r="F39" s="40" t="s">
        <v>43</v>
      </c>
      <c r="G39" s="68">
        <f>G35+G37+G38</f>
        <v>14390</v>
      </c>
      <c r="H39" s="41"/>
    </row>
    <row r="40" spans="1:8" ht="9.75" customHeight="1" x14ac:dyDescent="0.3">
      <c r="A40" s="21"/>
      <c r="B40" s="49"/>
      <c r="C40" s="87"/>
      <c r="D40" s="88"/>
      <c r="E40" s="88"/>
      <c r="F40" s="88"/>
      <c r="G40" s="88"/>
      <c r="H40" s="42"/>
    </row>
    <row r="41" spans="1:8" ht="9.75" customHeight="1" x14ac:dyDescent="0.3">
      <c r="A41" s="21"/>
      <c r="B41" s="42"/>
      <c r="C41" s="42"/>
      <c r="D41" s="42"/>
      <c r="E41" s="42"/>
      <c r="F41" s="42"/>
      <c r="G41" s="42"/>
      <c r="H41" s="42"/>
    </row>
    <row r="42" spans="1:8" ht="15.75" customHeight="1" x14ac:dyDescent="0.3">
      <c r="A42" s="21"/>
      <c r="B42" s="43"/>
      <c r="C42" s="89"/>
      <c r="D42" s="72"/>
      <c r="E42" s="72"/>
      <c r="F42" s="72"/>
      <c r="G42" s="72"/>
      <c r="H42" s="43"/>
    </row>
    <row r="43" spans="1:8" ht="15.75" customHeight="1" x14ac:dyDescent="0.3">
      <c r="A43" s="21"/>
      <c r="B43" s="44"/>
      <c r="C43" s="90"/>
      <c r="D43" s="72"/>
      <c r="E43" s="72"/>
      <c r="F43" s="72"/>
      <c r="G43" s="72"/>
      <c r="H43" s="44"/>
    </row>
    <row r="44" spans="1:8" ht="21" customHeight="1" x14ac:dyDescent="0.3">
      <c r="A44" s="45"/>
      <c r="B44" s="46"/>
      <c r="C44" s="91"/>
      <c r="D44" s="72"/>
      <c r="E44" s="72"/>
      <c r="F44" s="72"/>
      <c r="G44" s="72"/>
      <c r="H44" s="46"/>
    </row>
    <row r="45" spans="1:8" ht="15.75" customHeight="1" x14ac:dyDescent="0.3">
      <c r="A45" s="21"/>
      <c r="B45" s="21"/>
      <c r="C45" s="21"/>
      <c r="D45" s="21"/>
      <c r="E45" s="21"/>
      <c r="F45" s="21"/>
      <c r="G45" s="21"/>
      <c r="H45" s="21"/>
    </row>
    <row r="46" spans="1:8" ht="15.75" customHeight="1" x14ac:dyDescent="0.3">
      <c r="A46" s="47"/>
      <c r="B46" s="47"/>
      <c r="C46" s="47"/>
      <c r="D46" s="47"/>
      <c r="E46" s="47"/>
      <c r="F46" s="47"/>
      <c r="G46" s="47"/>
      <c r="H46" s="47"/>
    </row>
    <row r="47" spans="1:8" ht="15.75" customHeight="1" x14ac:dyDescent="0.3"/>
    <row r="48" spans="1: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29">
    <mergeCell ref="C39:D39"/>
    <mergeCell ref="C40:G40"/>
    <mergeCell ref="C42:G42"/>
    <mergeCell ref="C43:G43"/>
    <mergeCell ref="C44:G44"/>
    <mergeCell ref="B29:D29"/>
    <mergeCell ref="B30:D30"/>
    <mergeCell ref="B31:D31"/>
    <mergeCell ref="B32:D32"/>
    <mergeCell ref="B33:D33"/>
    <mergeCell ref="C34:D38"/>
    <mergeCell ref="B23:D23"/>
    <mergeCell ref="B24:D24"/>
    <mergeCell ref="B25:D25"/>
    <mergeCell ref="B26:D26"/>
    <mergeCell ref="B27:D27"/>
    <mergeCell ref="B28:D28"/>
    <mergeCell ref="B16:C16"/>
    <mergeCell ref="B17:C17"/>
    <mergeCell ref="B18:C18"/>
    <mergeCell ref="E19:G19"/>
    <mergeCell ref="B21:D21"/>
    <mergeCell ref="B22:D22"/>
    <mergeCell ref="G3:G5"/>
    <mergeCell ref="F10:G10"/>
    <mergeCell ref="E11:G11"/>
    <mergeCell ref="B12:C12"/>
    <mergeCell ref="B14:C14"/>
    <mergeCell ref="B15:C15"/>
  </mergeCells>
  <printOptions horizontalCentered="1" verticalCentered="1"/>
  <pageMargins left="0" right="0" top="0.5" bottom="0.5" header="0" footer="0"/>
  <pageSetup scale="84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A8D59-63B0-4AA1-A8DC-346B37222F50}">
  <sheetPr codeName="Sheet6">
    <tabColor rgb="FF8496B0"/>
    <outlinePr summaryBelow="0" summaryRight="0"/>
    <pageSetUpPr fitToPage="1"/>
  </sheetPr>
  <dimension ref="A1:H1000"/>
  <sheetViews>
    <sheetView showGridLines="0" topLeftCell="A3" zoomScale="70" zoomScaleNormal="70" workbookViewId="0">
      <selection activeCell="G39" sqref="G39"/>
    </sheetView>
  </sheetViews>
  <sheetFormatPr defaultColWidth="12.5546875" defaultRowHeight="15" customHeight="1" x14ac:dyDescent="0.3"/>
  <cols>
    <col min="1" max="1" width="4.33203125" style="5" customWidth="1"/>
    <col min="2" max="2" width="11.6640625" style="5" customWidth="1"/>
    <col min="3" max="3" width="31.88671875" style="5" customWidth="1"/>
    <col min="4" max="4" width="7.44140625" style="5" customWidth="1"/>
    <col min="5" max="5" width="16.44140625" style="5" customWidth="1"/>
    <col min="6" max="6" width="20.33203125" style="5" customWidth="1"/>
    <col min="7" max="7" width="17.88671875" style="5" customWidth="1"/>
    <col min="8" max="8" width="4" style="5" customWidth="1"/>
    <col min="9" max="26" width="17.33203125" style="5" customWidth="1"/>
    <col min="27" max="16384" width="12.5546875" style="5"/>
  </cols>
  <sheetData>
    <row r="1" spans="1:8" ht="14.25" customHeight="1" x14ac:dyDescent="0.3">
      <c r="A1" s="1"/>
      <c r="B1" s="2"/>
      <c r="C1" s="2"/>
      <c r="D1" s="3"/>
      <c r="E1" s="3"/>
      <c r="F1" s="3"/>
      <c r="G1" s="4"/>
      <c r="H1" s="4"/>
    </row>
    <row r="2" spans="1:8" ht="25.5" customHeight="1" x14ac:dyDescent="0.3">
      <c r="A2" s="6"/>
      <c r="B2" s="7"/>
      <c r="C2" s="7"/>
      <c r="D2" s="8"/>
      <c r="E2" s="8"/>
      <c r="F2" s="8"/>
      <c r="G2" s="9"/>
      <c r="H2" s="9"/>
    </row>
    <row r="3" spans="1:8" ht="18.600000000000001" customHeight="1" x14ac:dyDescent="0.3">
      <c r="A3" s="10"/>
      <c r="B3" s="11"/>
      <c r="C3" s="12" t="s">
        <v>23</v>
      </c>
      <c r="D3" s="11"/>
      <c r="E3" s="6"/>
      <c r="F3" s="10"/>
      <c r="G3" s="71" t="s">
        <v>24</v>
      </c>
      <c r="H3" s="11"/>
    </row>
    <row r="4" spans="1:8" ht="18" customHeight="1" x14ac:dyDescent="0.3">
      <c r="A4" s="10"/>
      <c r="B4" s="11"/>
      <c r="C4" s="13" t="s">
        <v>25</v>
      </c>
      <c r="D4" s="11"/>
      <c r="E4" s="6"/>
      <c r="F4" s="10"/>
      <c r="G4" s="72"/>
      <c r="H4" s="11"/>
    </row>
    <row r="5" spans="1:8" ht="18" customHeight="1" x14ac:dyDescent="0.3">
      <c r="A5" s="10"/>
      <c r="B5" s="11"/>
      <c r="C5" s="14"/>
      <c r="D5" s="11"/>
      <c r="E5" s="6"/>
      <c r="F5" s="10"/>
      <c r="G5" s="72"/>
      <c r="H5" s="11"/>
    </row>
    <row r="6" spans="1:8" ht="18" customHeight="1" x14ac:dyDescent="0.3">
      <c r="A6" s="10"/>
      <c r="B6" s="15"/>
      <c r="C6" s="15"/>
      <c r="D6" s="6"/>
      <c r="E6" s="16"/>
      <c r="F6" s="6"/>
      <c r="G6" s="50" t="s">
        <v>55</v>
      </c>
      <c r="H6" s="17"/>
    </row>
    <row r="7" spans="1:8" ht="18" customHeight="1" x14ac:dyDescent="0.3">
      <c r="A7" s="10"/>
      <c r="B7" s="15"/>
      <c r="C7" s="15"/>
      <c r="D7" s="6"/>
      <c r="E7" s="18"/>
      <c r="F7" s="6"/>
      <c r="G7" s="51"/>
      <c r="H7" s="19"/>
    </row>
    <row r="8" spans="1:8" ht="18" customHeight="1" x14ac:dyDescent="0.3">
      <c r="A8" s="10"/>
      <c r="B8" s="15"/>
      <c r="C8" s="15"/>
      <c r="D8" s="6"/>
      <c r="E8" s="16"/>
      <c r="F8" s="6"/>
      <c r="G8" s="52">
        <v>100042</v>
      </c>
      <c r="H8" s="17"/>
    </row>
    <row r="9" spans="1:8" ht="18" customHeight="1" x14ac:dyDescent="0.3">
      <c r="A9" s="10"/>
      <c r="B9" s="15"/>
      <c r="C9" s="15"/>
      <c r="D9" s="6"/>
      <c r="E9" s="20"/>
      <c r="F9" s="6"/>
      <c r="G9" s="20"/>
      <c r="H9" s="20"/>
    </row>
    <row r="10" spans="1:8" ht="18" customHeight="1" x14ac:dyDescent="0.3">
      <c r="A10" s="21"/>
      <c r="B10" s="22"/>
      <c r="C10" s="22"/>
      <c r="D10" s="23"/>
      <c r="E10" s="23"/>
      <c r="F10" s="73"/>
      <c r="G10" s="72"/>
      <c r="H10" s="24"/>
    </row>
    <row r="11" spans="1:8" ht="18" customHeight="1" x14ac:dyDescent="0.3">
      <c r="A11" s="21"/>
      <c r="B11" s="25"/>
      <c r="C11" s="25"/>
      <c r="D11" s="23"/>
      <c r="E11" s="74" t="s">
        <v>26</v>
      </c>
      <c r="F11" s="72"/>
      <c r="G11" s="72"/>
      <c r="H11" s="26"/>
    </row>
    <row r="12" spans="1:8" ht="15.75" customHeight="1" x14ac:dyDescent="0.3">
      <c r="A12" s="21"/>
      <c r="B12" s="75" t="s">
        <v>27</v>
      </c>
      <c r="C12" s="76"/>
      <c r="D12" s="23"/>
      <c r="E12" s="27"/>
      <c r="F12" s="28"/>
      <c r="G12" s="28"/>
      <c r="H12" s="29"/>
    </row>
    <row r="13" spans="1:8" ht="4.2" customHeight="1" x14ac:dyDescent="0.3">
      <c r="A13" s="21"/>
      <c r="B13" s="23"/>
      <c r="C13" s="23"/>
      <c r="D13" s="30"/>
      <c r="E13" s="23"/>
      <c r="F13" s="23"/>
      <c r="G13" s="23"/>
      <c r="H13" s="23"/>
    </row>
    <row r="14" spans="1:8" ht="18" customHeight="1" x14ac:dyDescent="0.3">
      <c r="A14" s="21"/>
      <c r="B14" s="70" t="s">
        <v>53</v>
      </c>
      <c r="C14" s="70"/>
      <c r="D14" s="31"/>
      <c r="E14" s="32"/>
      <c r="F14" s="32"/>
      <c r="G14" s="32"/>
      <c r="H14" s="32"/>
    </row>
    <row r="15" spans="1:8" ht="18" customHeight="1" x14ac:dyDescent="0.3">
      <c r="A15" s="21"/>
      <c r="B15" s="70" t="s">
        <v>49</v>
      </c>
      <c r="C15" s="70"/>
      <c r="D15" s="31"/>
      <c r="E15" s="32"/>
      <c r="F15" s="32"/>
      <c r="G15" s="32"/>
      <c r="H15" s="32"/>
    </row>
    <row r="16" spans="1:8" ht="18" customHeight="1" x14ac:dyDescent="0.3">
      <c r="A16" s="21"/>
      <c r="B16" s="70" t="s">
        <v>50</v>
      </c>
      <c r="C16" s="78"/>
      <c r="D16" s="31"/>
      <c r="E16" s="32"/>
      <c r="F16" s="32"/>
      <c r="G16" s="32"/>
      <c r="H16" s="32"/>
    </row>
    <row r="17" spans="1:8" ht="18" customHeight="1" x14ac:dyDescent="0.3">
      <c r="A17" s="21"/>
      <c r="B17" s="70">
        <v>225493678</v>
      </c>
      <c r="C17" s="78"/>
      <c r="D17" s="31"/>
      <c r="E17" s="32"/>
      <c r="F17" s="32"/>
      <c r="G17" s="32"/>
      <c r="H17" s="32"/>
    </row>
    <row r="18" spans="1:8" ht="18" customHeight="1" x14ac:dyDescent="0.3">
      <c r="A18" s="21"/>
      <c r="B18" s="70" t="s">
        <v>51</v>
      </c>
      <c r="C18" s="70"/>
      <c r="D18" s="31"/>
      <c r="E18" s="32"/>
      <c r="F18" s="32"/>
      <c r="G18" s="32"/>
      <c r="H18" s="32"/>
    </row>
    <row r="19" spans="1:8" ht="18" customHeight="1" x14ac:dyDescent="0.3">
      <c r="A19" s="21"/>
      <c r="B19" s="32"/>
      <c r="C19" s="32"/>
      <c r="D19" s="31"/>
      <c r="E19" s="80"/>
      <c r="F19" s="72"/>
      <c r="G19" s="72"/>
      <c r="H19" s="33"/>
    </row>
    <row r="20" spans="1:8" ht="4.2" customHeight="1" x14ac:dyDescent="0.3">
      <c r="A20" s="21"/>
      <c r="B20" s="23"/>
      <c r="C20" s="23"/>
      <c r="D20" s="23"/>
      <c r="E20" s="23"/>
      <c r="F20" s="23"/>
      <c r="G20" s="23"/>
      <c r="H20" s="23"/>
    </row>
    <row r="21" spans="1:8" ht="18" customHeight="1" x14ac:dyDescent="0.3">
      <c r="A21" s="21"/>
      <c r="B21" s="81" t="s">
        <v>33</v>
      </c>
      <c r="C21" s="82"/>
      <c r="D21" s="82"/>
      <c r="E21" s="69" t="s">
        <v>14</v>
      </c>
      <c r="F21" s="69" t="s">
        <v>34</v>
      </c>
      <c r="G21" s="69" t="s">
        <v>35</v>
      </c>
      <c r="H21" s="34"/>
    </row>
    <row r="22" spans="1:8" ht="18" customHeight="1" x14ac:dyDescent="0.3">
      <c r="A22" s="21"/>
      <c r="B22" s="83" t="s">
        <v>0</v>
      </c>
      <c r="C22" s="84"/>
      <c r="D22" s="85"/>
      <c r="E22" s="53">
        <v>50</v>
      </c>
      <c r="F22" s="54">
        <v>100</v>
      </c>
      <c r="G22" s="54">
        <v>5000</v>
      </c>
      <c r="H22" s="35"/>
    </row>
    <row r="23" spans="1:8" ht="18" customHeight="1" x14ac:dyDescent="0.3">
      <c r="A23" s="21"/>
      <c r="B23" s="86" t="s">
        <v>47</v>
      </c>
      <c r="C23" s="78"/>
      <c r="D23" s="79"/>
      <c r="E23" s="55">
        <v>50</v>
      </c>
      <c r="F23" s="56">
        <v>10</v>
      </c>
      <c r="G23" s="56">
        <v>500</v>
      </c>
      <c r="H23" s="35"/>
    </row>
    <row r="24" spans="1:8" ht="18" customHeight="1" x14ac:dyDescent="0.3">
      <c r="A24" s="21"/>
      <c r="B24" s="77"/>
      <c r="C24" s="78"/>
      <c r="D24" s="79"/>
      <c r="E24" s="57"/>
      <c r="F24" s="58"/>
      <c r="G24" s="58">
        <f t="shared" ref="G23:G32" si="0">E24*F24</f>
        <v>0</v>
      </c>
      <c r="H24" s="35"/>
    </row>
    <row r="25" spans="1:8" ht="18" customHeight="1" x14ac:dyDescent="0.3">
      <c r="A25" s="21"/>
      <c r="B25" s="86"/>
      <c r="C25" s="78"/>
      <c r="D25" s="79"/>
      <c r="E25" s="55"/>
      <c r="F25" s="56"/>
      <c r="G25" s="56">
        <f t="shared" si="0"/>
        <v>0</v>
      </c>
      <c r="H25" s="35"/>
    </row>
    <row r="26" spans="1:8" ht="18" customHeight="1" x14ac:dyDescent="0.3">
      <c r="A26" s="21"/>
      <c r="B26" s="77"/>
      <c r="C26" s="78"/>
      <c r="D26" s="79"/>
      <c r="E26" s="57"/>
      <c r="F26" s="58"/>
      <c r="G26" s="58">
        <f t="shared" si="0"/>
        <v>0</v>
      </c>
      <c r="H26" s="35"/>
    </row>
    <row r="27" spans="1:8" ht="18" customHeight="1" x14ac:dyDescent="0.3">
      <c r="A27" s="21"/>
      <c r="B27" s="86"/>
      <c r="C27" s="78"/>
      <c r="D27" s="79"/>
      <c r="E27" s="55"/>
      <c r="F27" s="56"/>
      <c r="G27" s="56">
        <f t="shared" si="0"/>
        <v>0</v>
      </c>
      <c r="H27" s="35"/>
    </row>
    <row r="28" spans="1:8" ht="18" customHeight="1" x14ac:dyDescent="0.3">
      <c r="A28" s="21"/>
      <c r="B28" s="77"/>
      <c r="C28" s="78"/>
      <c r="D28" s="79"/>
      <c r="E28" s="57"/>
      <c r="F28" s="58"/>
      <c r="G28" s="58">
        <f t="shared" si="0"/>
        <v>0</v>
      </c>
      <c r="H28" s="35"/>
    </row>
    <row r="29" spans="1:8" ht="18" customHeight="1" x14ac:dyDescent="0.3">
      <c r="A29" s="21"/>
      <c r="B29" s="86"/>
      <c r="C29" s="78"/>
      <c r="D29" s="79"/>
      <c r="E29" s="55"/>
      <c r="F29" s="56"/>
      <c r="G29" s="56">
        <f t="shared" si="0"/>
        <v>0</v>
      </c>
      <c r="H29" s="35"/>
    </row>
    <row r="30" spans="1:8" ht="18" customHeight="1" x14ac:dyDescent="0.3">
      <c r="A30" s="21"/>
      <c r="B30" s="77"/>
      <c r="C30" s="78"/>
      <c r="D30" s="79"/>
      <c r="E30" s="57"/>
      <c r="F30" s="58"/>
      <c r="G30" s="58">
        <f t="shared" si="0"/>
        <v>0</v>
      </c>
      <c r="H30" s="35"/>
    </row>
    <row r="31" spans="1:8" ht="18" customHeight="1" x14ac:dyDescent="0.3">
      <c r="A31" s="21"/>
      <c r="B31" s="86"/>
      <c r="C31" s="78"/>
      <c r="D31" s="79"/>
      <c r="E31" s="55"/>
      <c r="F31" s="56"/>
      <c r="G31" s="56">
        <f t="shared" si="0"/>
        <v>0</v>
      </c>
      <c r="H31" s="35"/>
    </row>
    <row r="32" spans="1:8" ht="18" customHeight="1" x14ac:dyDescent="0.3">
      <c r="A32" s="21"/>
      <c r="B32" s="92"/>
      <c r="C32" s="93"/>
      <c r="D32" s="94"/>
      <c r="E32" s="59"/>
      <c r="F32" s="60"/>
      <c r="G32" s="60">
        <f t="shared" si="0"/>
        <v>0</v>
      </c>
      <c r="H32" s="35"/>
    </row>
    <row r="33" spans="1:8" ht="19.5" customHeight="1" x14ac:dyDescent="0.3">
      <c r="A33" s="21"/>
      <c r="B33" s="98" t="s">
        <v>36</v>
      </c>
      <c r="C33" s="98"/>
      <c r="D33" s="98"/>
      <c r="E33" s="48"/>
      <c r="F33" s="61" t="s">
        <v>37</v>
      </c>
      <c r="G33" s="62">
        <f>SUM(G22:G32)</f>
        <v>5500</v>
      </c>
      <c r="H33" s="37"/>
    </row>
    <row r="34" spans="1:8" ht="19.5" customHeight="1" x14ac:dyDescent="0.3">
      <c r="A34" s="21"/>
      <c r="B34" s="63"/>
      <c r="C34" s="95"/>
      <c r="D34" s="78"/>
      <c r="E34" s="48"/>
      <c r="F34" s="61" t="s">
        <v>38</v>
      </c>
      <c r="G34" s="64">
        <v>0</v>
      </c>
      <c r="H34" s="37"/>
    </row>
    <row r="35" spans="1:8" ht="19.5" customHeight="1" x14ac:dyDescent="0.3">
      <c r="A35" s="21"/>
      <c r="B35" s="63"/>
      <c r="C35" s="78"/>
      <c r="D35" s="78"/>
      <c r="E35" s="48"/>
      <c r="F35" s="61" t="s">
        <v>39</v>
      </c>
      <c r="G35" s="64">
        <f>G33-G34</f>
        <v>5500</v>
      </c>
      <c r="H35" s="37"/>
    </row>
    <row r="36" spans="1:8" ht="19.5" customHeight="1" x14ac:dyDescent="0.3">
      <c r="A36" s="21"/>
      <c r="B36" s="63"/>
      <c r="C36" s="78"/>
      <c r="D36" s="78"/>
      <c r="E36" s="48"/>
      <c r="F36" s="61" t="s">
        <v>40</v>
      </c>
      <c r="G36" s="65">
        <v>0.12</v>
      </c>
      <c r="H36" s="38"/>
    </row>
    <row r="37" spans="1:8" ht="19.5" customHeight="1" x14ac:dyDescent="0.3">
      <c r="A37" s="21"/>
      <c r="B37" s="63"/>
      <c r="C37" s="78"/>
      <c r="D37" s="78"/>
      <c r="E37" s="48"/>
      <c r="F37" s="61" t="s">
        <v>41</v>
      </c>
      <c r="G37" s="64">
        <v>60</v>
      </c>
      <c r="H37" s="37"/>
    </row>
    <row r="38" spans="1:8" ht="19.5" customHeight="1" x14ac:dyDescent="0.3">
      <c r="A38" s="21"/>
      <c r="B38" s="63"/>
      <c r="C38" s="78"/>
      <c r="D38" s="78"/>
      <c r="E38" s="48"/>
      <c r="F38" s="61" t="s">
        <v>42</v>
      </c>
      <c r="G38" s="66">
        <v>100</v>
      </c>
      <c r="H38" s="39"/>
    </row>
    <row r="39" spans="1:8" ht="33.75" customHeight="1" x14ac:dyDescent="0.3">
      <c r="A39" s="21"/>
      <c r="B39" s="67"/>
      <c r="C39" s="96"/>
      <c r="D39" s="97"/>
      <c r="E39" s="36"/>
      <c r="F39" s="40" t="s">
        <v>43</v>
      </c>
      <c r="G39" s="68">
        <f>G35+G37+G38</f>
        <v>5660</v>
      </c>
      <c r="H39" s="41"/>
    </row>
    <row r="40" spans="1:8" ht="9.75" customHeight="1" x14ac:dyDescent="0.3">
      <c r="A40" s="21"/>
      <c r="B40" s="49"/>
      <c r="C40" s="87"/>
      <c r="D40" s="88"/>
      <c r="E40" s="88"/>
      <c r="F40" s="88"/>
      <c r="G40" s="88"/>
      <c r="H40" s="42"/>
    </row>
    <row r="41" spans="1:8" ht="9.75" customHeight="1" x14ac:dyDescent="0.3">
      <c r="A41" s="21"/>
      <c r="B41" s="42"/>
      <c r="C41" s="42"/>
      <c r="D41" s="42"/>
      <c r="E41" s="42"/>
      <c r="F41" s="42"/>
      <c r="G41" s="42"/>
      <c r="H41" s="42"/>
    </row>
    <row r="42" spans="1:8" ht="15.75" customHeight="1" x14ac:dyDescent="0.3">
      <c r="A42" s="21"/>
      <c r="B42" s="43"/>
      <c r="C42" s="89"/>
      <c r="D42" s="72"/>
      <c r="E42" s="72"/>
      <c r="F42" s="72"/>
      <c r="G42" s="72"/>
      <c r="H42" s="43"/>
    </row>
    <row r="43" spans="1:8" ht="15.75" customHeight="1" x14ac:dyDescent="0.3">
      <c r="A43" s="21"/>
      <c r="B43" s="44"/>
      <c r="C43" s="90"/>
      <c r="D43" s="72"/>
      <c r="E43" s="72"/>
      <c r="F43" s="72"/>
      <c r="G43" s="72"/>
      <c r="H43" s="44"/>
    </row>
    <row r="44" spans="1:8" ht="21" customHeight="1" x14ac:dyDescent="0.3">
      <c r="A44" s="45"/>
      <c r="B44" s="46"/>
      <c r="C44" s="91"/>
      <c r="D44" s="72"/>
      <c r="E44" s="72"/>
      <c r="F44" s="72"/>
      <c r="G44" s="72"/>
      <c r="H44" s="46"/>
    </row>
    <row r="45" spans="1:8" ht="15.75" customHeight="1" x14ac:dyDescent="0.3">
      <c r="A45" s="21"/>
      <c r="B45" s="21"/>
      <c r="C45" s="21"/>
      <c r="D45" s="21"/>
      <c r="E45" s="21"/>
      <c r="F45" s="21"/>
      <c r="G45" s="21"/>
      <c r="H45" s="21"/>
    </row>
    <row r="46" spans="1:8" ht="15.75" customHeight="1" x14ac:dyDescent="0.3">
      <c r="A46" s="47"/>
      <c r="B46" s="47"/>
      <c r="C46" s="47"/>
      <c r="D46" s="47"/>
      <c r="E46" s="47"/>
      <c r="F46" s="47"/>
      <c r="G46" s="47"/>
      <c r="H46" s="47"/>
    </row>
    <row r="47" spans="1:8" ht="15.75" customHeight="1" x14ac:dyDescent="0.3"/>
    <row r="48" spans="1: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29">
    <mergeCell ref="C39:D39"/>
    <mergeCell ref="C40:G40"/>
    <mergeCell ref="C42:G42"/>
    <mergeCell ref="C43:G43"/>
    <mergeCell ref="C44:G44"/>
    <mergeCell ref="B29:D29"/>
    <mergeCell ref="B30:D30"/>
    <mergeCell ref="B31:D31"/>
    <mergeCell ref="B32:D32"/>
    <mergeCell ref="B33:D33"/>
    <mergeCell ref="C34:D38"/>
    <mergeCell ref="B23:D23"/>
    <mergeCell ref="B24:D24"/>
    <mergeCell ref="B25:D25"/>
    <mergeCell ref="B26:D26"/>
    <mergeCell ref="B27:D27"/>
    <mergeCell ref="B28:D28"/>
    <mergeCell ref="B16:C16"/>
    <mergeCell ref="B17:C17"/>
    <mergeCell ref="B18:C18"/>
    <mergeCell ref="E19:G19"/>
    <mergeCell ref="B21:D21"/>
    <mergeCell ref="B22:D22"/>
    <mergeCell ref="G3:G5"/>
    <mergeCell ref="F10:G10"/>
    <mergeCell ref="E11:G11"/>
    <mergeCell ref="B12:C12"/>
    <mergeCell ref="B14:C14"/>
    <mergeCell ref="B15:C15"/>
  </mergeCells>
  <printOptions horizontalCentered="1" verticalCentered="1"/>
  <pageMargins left="0" right="0" top="0.5" bottom="0.5" header="0" footer="0"/>
  <pageSetup scale="84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2E773-4F32-4540-933A-F938375EDF00}">
  <sheetPr codeName="Sheet1"/>
  <dimension ref="A3:A7"/>
  <sheetViews>
    <sheetView workbookViewId="0">
      <selection activeCell="L16" sqref="L16"/>
    </sheetView>
  </sheetViews>
  <sheetFormatPr defaultRowHeight="14.4" x14ac:dyDescent="0.3"/>
  <sheetData>
    <row r="3" spans="1:1" x14ac:dyDescent="0.3">
      <c r="A3" t="s">
        <v>46</v>
      </c>
    </row>
    <row r="4" spans="1:1" x14ac:dyDescent="0.3">
      <c r="A4" t="s">
        <v>47</v>
      </c>
    </row>
    <row r="5" spans="1:1" x14ac:dyDescent="0.3">
      <c r="A5" t="s">
        <v>0</v>
      </c>
    </row>
    <row r="6" spans="1:1" x14ac:dyDescent="0.3">
      <c r="A6" t="s">
        <v>48</v>
      </c>
    </row>
    <row r="7" spans="1:1" x14ac:dyDescent="0.3">
      <c r="A7" t="s">
        <v>4</v>
      </c>
    </row>
  </sheetData>
  <dataValidations count="1">
    <dataValidation type="list" allowBlank="1" showInputMessage="1" showErrorMessage="1" sqref="A3:A7" xr:uid="{229885B3-70A2-439B-BAEF-898D3CA965CA}">
      <formula1>$I$2:$I$7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DataEntry</vt:lpstr>
      <vt:lpstr>InvoiceTemplate</vt:lpstr>
      <vt:lpstr>Invoice 1_171427</vt:lpstr>
      <vt:lpstr>Invoice 2_171428</vt:lpstr>
      <vt:lpstr>Sheet10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Rinku Malviya</dc:creator>
  <cp:lastModifiedBy>Rinku Malviya</cp:lastModifiedBy>
  <cp:lastPrinted>2025-07-30T11:44:28Z</cp:lastPrinted>
  <dcterms:created xsi:type="dcterms:W3CDTF">2025-07-28T16:42:55Z</dcterms:created>
  <dcterms:modified xsi:type="dcterms:W3CDTF">2025-07-30T12:13:45Z</dcterms:modified>
</cp:coreProperties>
</file>